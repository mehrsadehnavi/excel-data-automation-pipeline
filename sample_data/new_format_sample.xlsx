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949" firstSheet="0" activeTab="9" autoFilterDateGrouping="1"/>
  </bookViews>
  <sheets>
    <sheet name="Spring" sheetId="1" state="visible" r:id="rId1"/>
    <sheet name="Summer" sheetId="2" state="visible" r:id="rId2"/>
    <sheet name="Fall" sheetId="3" state="visible" r:id="rId3"/>
    <sheet name="Winter" sheetId="4" state="visible" r:id="rId4"/>
    <sheet name="Levels" sheetId="5" state="visible" r:id="rId5"/>
    <sheet name="Workshops" sheetId="6" state="visible" r:id="rId6"/>
    <sheet name="Bonus" sheetId="7" state="visible" r:id="rId7"/>
    <sheet name="Complaints" sheetId="8" state="visible" r:id="rId8"/>
    <sheet name="Requests" sheetId="9" state="visible" r:id="rId9"/>
    <sheet name="Personal Info" sheetId="10" state="visible" r:id="rId10"/>
    <sheet name="Professional Info" sheetId="11" state="visible" r:id="rId11"/>
    <sheet name="Observe-1" sheetId="12" state="visible" r:id="rId12"/>
    <sheet name="Observe-2" sheetId="13" state="visible" r:id="rId13"/>
    <sheet name="Observe-3" sheetId="14" state="visible" r:id="rId14"/>
    <sheet name="Observe-4" sheetId="15" state="visible" r:id="rId15"/>
    <sheet name="Observe-5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6"/>
      <scheme val="minor"/>
    </font>
    <font>
      <name val="Calibri"/>
      <charset val="178"/>
      <family val="2"/>
      <color theme="1"/>
      <sz val="14"/>
      <scheme val="minor"/>
    </font>
    <font>
      <name val="Calibri"/>
      <charset val="178"/>
      <family val="2"/>
      <color theme="1"/>
      <sz val="12"/>
      <scheme val="minor"/>
    </font>
    <font>
      <name val="2  Arabic Style"/>
      <charset val="178"/>
      <color theme="1"/>
      <sz val="11"/>
    </font>
    <font>
      <name val="Calibri"/>
      <charset val="178"/>
      <family val="2"/>
      <color theme="1"/>
      <sz val="10"/>
      <scheme val="minor"/>
    </font>
    <font>
      <name val="Calibri"/>
      <family val="2"/>
      <color theme="1"/>
      <sz val="18"/>
      <scheme val="minor"/>
    </font>
  </fonts>
  <fills count="14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rgb="FFCCB3FF"/>
        <bgColor indexed="64"/>
      </patternFill>
    </fill>
    <fill>
      <patternFill patternType="solid">
        <fgColor rgb="FFF3FFC9"/>
        <bgColor indexed="64"/>
      </patternFill>
    </fill>
    <fill>
      <patternFill patternType="solid">
        <fgColor rgb="FFEAD5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0999786370433668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1" fillId="0" borderId="0"/>
  </cellStyleXfs>
  <cellXfs count="110">
    <xf numFmtId="0" fontId="0" fillId="0" borderId="0" pivotButton="0" quotePrefix="0" xfId="0"/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" fontId="0" fillId="0" borderId="12" applyAlignment="1" pivotButton="0" quotePrefix="0" xfId="0">
      <alignment horizontal="center" vertical="center" wrapText="1"/>
    </xf>
    <xf numFmtId="0" fontId="0" fillId="3" borderId="13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4" borderId="15" applyAlignment="1" pivotButton="0" quotePrefix="0" xfId="0">
      <alignment vertical="center"/>
    </xf>
    <xf numFmtId="0" fontId="0" fillId="5" borderId="15" applyAlignment="1" pivotButton="0" quotePrefix="0" xfId="0">
      <alignment vertical="center"/>
    </xf>
    <xf numFmtId="0" fontId="0" fillId="6" borderId="15" applyAlignment="1" pivotButton="0" quotePrefix="0" xfId="0">
      <alignment vertical="center"/>
    </xf>
    <xf numFmtId="0" fontId="0" fillId="3" borderId="16" applyAlignment="1" pivotButton="0" quotePrefix="0" xfId="0">
      <alignment vertical="center"/>
    </xf>
    <xf numFmtId="0" fontId="2" fillId="2" borderId="9" applyAlignment="1" pivotButton="0" quotePrefix="0" xfId="0">
      <alignment horizontal="center"/>
    </xf>
    <xf numFmtId="0" fontId="2" fillId="2" borderId="10" applyAlignment="1" pivotButton="0" quotePrefix="0" xfId="0">
      <alignment horizontal="center"/>
    </xf>
    <xf numFmtId="0" fontId="2" fillId="2" borderId="11" applyAlignment="1" pivotButton="0" quotePrefix="0" xfId="0">
      <alignment horizontal="center"/>
    </xf>
    <xf numFmtId="0" fontId="2" fillId="2" borderId="18" applyAlignment="1" pivotButton="0" quotePrefix="0" xfId="0">
      <alignment horizontal="center"/>
    </xf>
    <xf numFmtId="0" fontId="0" fillId="3" borderId="19" applyAlignment="1" pivotButton="0" quotePrefix="0" xfId="0">
      <alignment vertical="center"/>
    </xf>
    <xf numFmtId="0" fontId="2" fillId="2" borderId="22" applyAlignment="1" pivotButton="0" quotePrefix="0" xfId="0">
      <alignment horizontal="center"/>
    </xf>
    <xf numFmtId="0" fontId="0" fillId="8" borderId="23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12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3" borderId="12" applyAlignment="1" pivotButton="0" quotePrefix="0" xfId="0">
      <alignment horizontal="center" vertical="center"/>
    </xf>
    <xf numFmtId="0" fontId="5" fillId="3" borderId="28" applyAlignment="1" pivotButton="0" quotePrefix="0" xfId="0">
      <alignment horizontal="center" vertical="center"/>
    </xf>
    <xf numFmtId="0" fontId="5" fillId="3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9" borderId="17" applyAlignment="1" pivotButton="0" quotePrefix="0" xfId="0">
      <alignment vertical="center"/>
    </xf>
    <xf numFmtId="0" fontId="1" fillId="9" borderId="30" applyAlignment="1" pivotButton="0" quotePrefix="0" xfId="0">
      <alignment vertical="center"/>
    </xf>
    <xf numFmtId="0" fontId="0" fillId="10" borderId="27" applyAlignment="1" pivotButton="0" quotePrefix="0" xfId="0">
      <alignment horizontal="center" vertical="center" wrapText="1"/>
    </xf>
    <xf numFmtId="0" fontId="0" fillId="10" borderId="10" applyAlignment="1" pivotButton="0" quotePrefix="0" xfId="0">
      <alignment horizontal="center" vertical="center" wrapText="1"/>
    </xf>
    <xf numFmtId="0" fontId="0" fillId="10" borderId="10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/>
    </xf>
    <xf numFmtId="2" fontId="0" fillId="0" borderId="15" applyAlignment="1" pivotButton="0" quotePrefix="0" xfId="0">
      <alignment horizontal="center" vertical="center"/>
    </xf>
    <xf numFmtId="0" fontId="7" fillId="10" borderId="27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/>
    </xf>
    <xf numFmtId="0" fontId="0" fillId="11" borderId="31" applyAlignment="1" pivotButton="0" quotePrefix="0" xfId="0">
      <alignment horizontal="center" vertical="center"/>
    </xf>
    <xf numFmtId="2" fontId="0" fillId="11" borderId="31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7" borderId="5" applyAlignment="1" pivotButton="0" quotePrefix="0" xfId="0">
      <alignment horizontal="center" vertical="center"/>
    </xf>
    <xf numFmtId="0" fontId="0" fillId="7" borderId="6" applyAlignment="1" pivotButton="0" quotePrefix="0" xfId="0">
      <alignment horizontal="center" vertical="center"/>
    </xf>
    <xf numFmtId="0" fontId="0" fillId="7" borderId="7" applyAlignment="1" pivotButton="0" quotePrefix="0" xfId="0">
      <alignment horizontal="center" vertical="center"/>
    </xf>
    <xf numFmtId="0" fontId="0" fillId="7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8" fillId="12" borderId="3" applyAlignment="1" pivotButton="0" quotePrefix="0" xfId="0">
      <alignment horizontal="center" vertical="center"/>
    </xf>
    <xf numFmtId="0" fontId="8" fillId="12" borderId="4" applyAlignment="1" pivotButton="0" quotePrefix="0" xfId="0">
      <alignment horizontal="center" vertical="center"/>
    </xf>
    <xf numFmtId="0" fontId="8" fillId="12" borderId="5" applyAlignment="1" pivotButton="0" quotePrefix="0" xfId="0">
      <alignment horizontal="center" vertical="center"/>
    </xf>
    <xf numFmtId="0" fontId="8" fillId="12" borderId="24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8" fillId="12" borderId="25" applyAlignment="1" pivotButton="0" quotePrefix="0" xfId="0">
      <alignment horizontal="center" vertical="center"/>
    </xf>
    <xf numFmtId="0" fontId="8" fillId="12" borderId="6" applyAlignment="1" pivotButton="0" quotePrefix="0" xfId="0">
      <alignment horizontal="center" vertical="center"/>
    </xf>
    <xf numFmtId="0" fontId="8" fillId="12" borderId="7" applyAlignment="1" pivotButton="0" quotePrefix="0" xfId="0">
      <alignment horizontal="center" vertical="center"/>
    </xf>
    <xf numFmtId="0" fontId="8" fillId="12" borderId="8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6" borderId="3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6" borderId="5" applyAlignment="1" pivotButton="0" quotePrefix="0" xfId="0">
      <alignment horizontal="center" vertical="center"/>
    </xf>
    <xf numFmtId="0" fontId="0" fillId="6" borderId="24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25" applyAlignment="1" pivotButton="0" quotePrefix="0" xfId="0">
      <alignment horizontal="center" vertical="center"/>
    </xf>
    <xf numFmtId="0" fontId="0" fillId="6" borderId="6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/>
    </xf>
    <xf numFmtId="0" fontId="0" fillId="6" borderId="8" applyAlignment="1" pivotButton="0" quotePrefix="0" xfId="0">
      <alignment horizontal="center" vertical="center"/>
    </xf>
    <xf numFmtId="0" fontId="6" fillId="9" borderId="17" applyAlignment="1" pivotButton="0" quotePrefix="0" xfId="0">
      <alignment horizontal="center" vertical="center"/>
    </xf>
    <xf numFmtId="0" fontId="6" fillId="9" borderId="30" applyAlignment="1" pivotButton="0" quotePrefix="0" xfId="0">
      <alignment horizontal="center" vertical="center"/>
    </xf>
    <xf numFmtId="0" fontId="6" fillId="9" borderId="31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2" fillId="2" borderId="20" applyAlignment="1" pivotButton="0" quotePrefix="0" xfId="0">
      <alignment horizontal="center" vertical="center"/>
    </xf>
    <xf numFmtId="0" fontId="2" fillId="2" borderId="21" applyAlignment="1" pivotButton="0" quotePrefix="0" xfId="0">
      <alignment horizontal="center" vertical="center"/>
    </xf>
    <xf numFmtId="0" fontId="0" fillId="11" borderId="17" applyAlignment="1" pivotButton="0" quotePrefix="0" xfId="0">
      <alignment horizontal="center" vertical="center"/>
    </xf>
    <xf numFmtId="0" fontId="0" fillId="11" borderId="31" applyAlignment="1" pivotButton="0" quotePrefix="0" xfId="0">
      <alignment horizontal="center" vertical="center"/>
    </xf>
    <xf numFmtId="0" fontId="0" fillId="13" borderId="1" applyAlignment="1" pivotButton="0" quotePrefix="0" xfId="0">
      <alignment vertical="center"/>
    </xf>
    <xf numFmtId="0" fontId="0" fillId="13" borderId="15" applyAlignment="1" pivotButton="0" quotePrefix="0" xfId="0">
      <alignment vertical="center"/>
    </xf>
    <xf numFmtId="0" fontId="3" fillId="7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6" fillId="9" borderId="38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1" pivotButton="0" quotePrefix="0" xfId="0"/>
    <xf numFmtId="0" fontId="0" fillId="11" borderId="3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KC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val>
            <numRef>
              <f>[1]results!$E$22:$E$24</f>
              <numCache>
                <formatCode>General</formatCode>
                <ptCount val="3"/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CES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val>
            <numRef>
              <f>[1]results!$E$38:$E$42</f>
              <numCache>
                <formatCode>General</formatCode>
                <ptCount val="5"/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MIC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val>
            <numRef>
              <f>[1]results!$E$59:$E$66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Adults (CO-CPE)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val>
            <numRef>
              <f>[1]results!$E$79:$E$88</f>
              <numCache>
                <formatCode>General</formatCode>
                <ptCount val="10"/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0"/>
          <showLeaderLines val="1"/>
        </dLbls>
        <firstSliceAng val="0"/>
      </pieChart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19050</colOff>
      <row>2</row>
      <rowOff>123826</rowOff>
    </from>
    <to>
      <col>14</col>
      <colOff>0</colOff>
      <row>14</row>
      <rowOff>171451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6</col>
      <colOff>19050</colOff>
      <row>18</row>
      <rowOff>0</rowOff>
    </from>
    <to>
      <col>14</col>
      <colOff>38100</colOff>
      <row>32</row>
      <rowOff>171450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6</col>
      <colOff>28574</colOff>
      <row>38</row>
      <rowOff>9525</rowOff>
    </from>
    <to>
      <col>14</col>
      <colOff>57149</colOff>
      <row>55</row>
      <rowOff>180975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5</col>
      <colOff>600075</colOff>
      <row>60</row>
      <rowOff>9526</rowOff>
    </from>
    <to>
      <col>14</col>
      <colOff>200025</colOff>
      <row>81</row>
      <rowOff>142876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R19"/>
  <sheetViews>
    <sheetView workbookViewId="0">
      <selection activeCell="B4" sqref="B4:E14"/>
    </sheetView>
  </sheetViews>
  <sheetFormatPr baseColWidth="8" defaultRowHeight="14.4"/>
  <cols>
    <col width="9.109375" customWidth="1" min="2" max="2"/>
    <col width="13.109375" customWidth="1" min="3" max="3"/>
    <col width="15.88671875" customWidth="1" min="5" max="7"/>
    <col width="23.6640625" customWidth="1" min="8" max="8"/>
  </cols>
  <sheetData>
    <row r="3" ht="15" customHeight="1" thickBot="1"/>
    <row r="4">
      <c r="B4" s="12" t="inlineStr">
        <is>
          <t>ردیف</t>
        </is>
      </c>
      <c r="C4" s="13" t="inlineStr">
        <is>
          <t>کلاس</t>
        </is>
      </c>
      <c r="D4" s="13" t="inlineStr">
        <is>
          <t>آبزرو</t>
        </is>
      </c>
      <c r="E4" s="13" t="inlineStr">
        <is>
          <t>ارزشیابی مجازی</t>
        </is>
      </c>
      <c r="F4" s="13" t="inlineStr">
        <is>
          <t>ارزشیابی حضوری</t>
        </is>
      </c>
      <c r="G4" s="15" t="inlineStr">
        <is>
          <t>تاریخ</t>
        </is>
      </c>
      <c r="H4" s="17" t="inlineStr">
        <is>
          <t>ضریب جذب بهار به تابستان</t>
        </is>
      </c>
    </row>
    <row r="5" ht="25.5" customHeight="1" thickBot="1">
      <c r="B5" s="4" t="n">
        <v>1</v>
      </c>
      <c r="C5" s="1" t="inlineStr">
        <is>
          <t>co6+</t>
        </is>
      </c>
      <c r="D5" s="2" t="n">
        <v>4.8</v>
      </c>
      <c r="E5" s="3" t="n">
        <v>98</v>
      </c>
      <c r="F5" s="3" t="n"/>
      <c r="G5" s="16" t="inlineStr">
        <is>
          <t>04.02.03</t>
        </is>
      </c>
      <c r="H5" s="18" t="n"/>
    </row>
    <row r="6" ht="25.5" customHeight="1">
      <c r="B6" s="6" t="n">
        <v>2</v>
      </c>
      <c r="C6" s="1" t="inlineStr">
        <is>
          <t>comp4</t>
        </is>
      </c>
      <c r="D6" s="2" t="n"/>
      <c r="E6" s="3" t="n"/>
      <c r="F6" s="3" t="n">
        <v>90</v>
      </c>
      <c r="G6" s="5" t="inlineStr">
        <is>
          <t>spring 04</t>
        </is>
      </c>
    </row>
    <row r="7" ht="25.5" customHeight="1">
      <c r="B7" s="6" t="n">
        <v>3</v>
      </c>
      <c r="C7" s="1" t="inlineStr">
        <is>
          <t>kc2d</t>
        </is>
      </c>
      <c r="D7" s="2" t="n"/>
      <c r="E7" s="3" t="n"/>
      <c r="F7" s="3" t="n">
        <v>97</v>
      </c>
      <c r="G7" s="5" t="inlineStr">
        <is>
          <t>spring 04</t>
        </is>
      </c>
    </row>
    <row r="8" ht="25.5" customHeight="1">
      <c r="B8" s="6" t="n">
        <v>4</v>
      </c>
      <c r="C8" s="1" t="inlineStr">
        <is>
          <t>comp5</t>
        </is>
      </c>
      <c r="D8" s="2" t="n"/>
      <c r="E8" s="3" t="n"/>
      <c r="F8" s="3" t="n">
        <v>93</v>
      </c>
      <c r="G8" s="5" t="inlineStr">
        <is>
          <t>spring 04</t>
        </is>
      </c>
    </row>
    <row r="9" ht="25.5" customHeight="1">
      <c r="B9" s="6" t="n">
        <v>5</v>
      </c>
      <c r="C9" s="1" t="inlineStr">
        <is>
          <t>cae2</t>
        </is>
      </c>
      <c r="D9" s="2" t="n"/>
      <c r="E9" s="3" t="n"/>
      <c r="F9" s="3" t="n">
        <v>97</v>
      </c>
      <c r="G9" s="5" t="inlineStr">
        <is>
          <t>spring 04</t>
        </is>
      </c>
    </row>
    <row r="10" ht="25.5" customHeight="1" thickBot="1">
      <c r="B10" s="6" t="n">
        <v>6</v>
      </c>
      <c r="C10" s="1" t="inlineStr">
        <is>
          <t>co7</t>
        </is>
      </c>
      <c r="D10" s="2" t="n"/>
      <c r="E10" s="3" t="n">
        <v>94</v>
      </c>
      <c r="F10" s="3" t="n"/>
      <c r="G10" s="5" t="inlineStr">
        <is>
          <t>spring 04</t>
        </is>
      </c>
    </row>
    <row r="11" ht="25.5" customHeight="1">
      <c r="B11" s="6" t="n">
        <v>7</v>
      </c>
      <c r="C11" s="1" t="n"/>
      <c r="D11" s="2" t="n"/>
      <c r="E11" s="3" t="n"/>
      <c r="F11" s="3" t="n"/>
      <c r="G11" s="5" t="n"/>
      <c r="K11" s="96" t="inlineStr">
        <is>
          <t>کلاس‌های بهار</t>
        </is>
      </c>
      <c r="L11" s="20" t="n"/>
      <c r="M11" s="20" t="n"/>
      <c r="N11" s="20" t="n"/>
      <c r="O11" s="20" t="n"/>
      <c r="P11" s="20" t="n"/>
      <c r="Q11" s="20" t="n"/>
      <c r="R11" s="21" t="n"/>
    </row>
    <row r="12" ht="25.5" customHeight="1" thickBot="1">
      <c r="B12" s="6" t="n">
        <v>8</v>
      </c>
      <c r="C12" s="1" t="n"/>
      <c r="D12" s="2" t="n"/>
      <c r="E12" s="3" t="n"/>
      <c r="F12" s="3" t="n"/>
      <c r="G12" s="5" t="n"/>
      <c r="K12" s="33" t="n"/>
      <c r="L12" s="34" t="n"/>
      <c r="M12" s="34" t="n"/>
      <c r="N12" s="34" t="n"/>
      <c r="O12" s="34" t="n"/>
      <c r="P12" s="34" t="n"/>
      <c r="Q12" s="34" t="n"/>
      <c r="R12" s="35" t="n"/>
    </row>
    <row r="13" ht="25.5" customHeight="1">
      <c r="B13" s="6" t="n">
        <v>9</v>
      </c>
      <c r="C13" s="1" t="n"/>
      <c r="D13" s="2" t="n"/>
      <c r="E13" s="3" t="n"/>
      <c r="F13" s="3" t="n"/>
      <c r="G13" s="5" t="n"/>
    </row>
    <row r="14" ht="25.5" customHeight="1">
      <c r="B14" s="6" t="n">
        <v>10</v>
      </c>
      <c r="C14" s="1" t="n"/>
      <c r="D14" s="2" t="n"/>
      <c r="E14" s="3" t="n"/>
      <c r="F14" s="3" t="n"/>
      <c r="G14" s="5" t="n"/>
    </row>
    <row r="15" ht="25.5" customHeight="1">
      <c r="B15" s="6" t="n">
        <v>11</v>
      </c>
      <c r="C15" s="1" t="n"/>
      <c r="D15" s="2" t="n"/>
      <c r="E15" s="3" t="n"/>
      <c r="F15" s="3" t="n"/>
      <c r="G15" s="5" t="n"/>
    </row>
    <row r="16" ht="25.5" customHeight="1">
      <c r="B16" s="6" t="n">
        <v>12</v>
      </c>
      <c r="C16" s="1" t="n"/>
      <c r="D16" s="2" t="n"/>
      <c r="E16" s="3" t="n"/>
      <c r="F16" s="3" t="n"/>
      <c r="G16" s="5" t="n"/>
    </row>
    <row r="17" ht="25.5" customHeight="1">
      <c r="B17" s="6" t="n">
        <v>13</v>
      </c>
      <c r="C17" s="1" t="n"/>
      <c r="D17" s="2" t="n"/>
      <c r="E17" s="3" t="n"/>
      <c r="F17" s="3" t="n"/>
      <c r="G17" s="5" t="n"/>
    </row>
    <row r="18" ht="25.5" customHeight="1">
      <c r="B18" s="6" t="n">
        <v>14</v>
      </c>
      <c r="C18" s="1" t="n"/>
      <c r="D18" s="2" t="n"/>
      <c r="E18" s="3" t="n"/>
      <c r="F18" s="3" t="n"/>
      <c r="G18" s="5" t="n"/>
    </row>
    <row r="19" ht="25.5" customHeight="1" thickBot="1">
      <c r="B19" s="7" t="n">
        <v>15</v>
      </c>
      <c r="C19" s="8" t="n"/>
      <c r="D19" s="9" t="n"/>
      <c r="E19" s="10" t="n"/>
      <c r="F19" s="10" t="n"/>
      <c r="G19" s="11" t="n"/>
    </row>
  </sheetData>
  <mergeCells count="1">
    <mergeCell ref="K11:R1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R19"/>
  <sheetViews>
    <sheetView workbookViewId="0">
      <selection activeCell="B4" sqref="B4:F9"/>
    </sheetView>
  </sheetViews>
  <sheetFormatPr baseColWidth="8" defaultRowHeight="14.4"/>
  <cols>
    <col width="13.109375" customWidth="1" min="3" max="3"/>
    <col width="15.88671875" customWidth="1" min="5" max="7"/>
    <col width="23.6640625" customWidth="1" min="8" max="8"/>
  </cols>
  <sheetData>
    <row r="3" ht="15" customHeight="1" thickBot="1"/>
    <row r="4" ht="15" customHeight="1">
      <c r="B4" s="12" t="inlineStr">
        <is>
          <t>ردیف</t>
        </is>
      </c>
      <c r="C4" s="13" t="inlineStr">
        <is>
          <t>کلاس</t>
        </is>
      </c>
      <c r="D4" s="13" t="inlineStr">
        <is>
          <t>آبزرو</t>
        </is>
      </c>
      <c r="E4" s="13" t="inlineStr">
        <is>
          <t>ارزشیابی مجازی</t>
        </is>
      </c>
      <c r="F4" s="13" t="inlineStr">
        <is>
          <t>ارزشیابی حضوری</t>
        </is>
      </c>
      <c r="G4" s="14" t="inlineStr">
        <is>
          <t>تاریخ</t>
        </is>
      </c>
      <c r="H4" s="17" t="inlineStr">
        <is>
          <t>ضریب جذب تابستان به پائیز</t>
        </is>
      </c>
    </row>
    <row r="5" ht="25.5" customHeight="1" thickBot="1">
      <c r="B5" s="4" t="n">
        <v>1</v>
      </c>
      <c r="C5" s="1" t="inlineStr">
        <is>
          <t>su2</t>
        </is>
      </c>
      <c r="D5" s="2" t="n"/>
      <c r="E5" s="3" t="n">
        <v>86</v>
      </c>
      <c r="F5" s="3" t="n"/>
      <c r="G5" s="5" t="inlineStr">
        <is>
          <t>summer 04</t>
        </is>
      </c>
      <c r="H5" s="18" t="n"/>
    </row>
    <row r="6" ht="25.5" customHeight="1">
      <c r="B6" s="6" t="n">
        <v>2</v>
      </c>
      <c r="C6" s="1" t="inlineStr">
        <is>
          <t>comp4</t>
        </is>
      </c>
      <c r="D6" s="2" t="n"/>
      <c r="E6" s="3" t="n">
        <v>91</v>
      </c>
      <c r="F6" s="3" t="n"/>
      <c r="G6" s="5" t="inlineStr">
        <is>
          <t>summer 04</t>
        </is>
      </c>
    </row>
    <row r="7" ht="25.5" customHeight="1">
      <c r="B7" s="6" t="n">
        <v>3</v>
      </c>
      <c r="C7" s="1" t="inlineStr">
        <is>
          <t>comp5</t>
        </is>
      </c>
      <c r="D7" s="2" t="n"/>
      <c r="E7" s="3" t="n">
        <v>95</v>
      </c>
      <c r="F7" s="3" t="n"/>
      <c r="G7" s="5" t="inlineStr">
        <is>
          <t>summer 04</t>
        </is>
      </c>
    </row>
    <row r="8" ht="25.5" customHeight="1">
      <c r="B8" s="6" t="n">
        <v>4</v>
      </c>
      <c r="C8" s="1" t="n"/>
      <c r="D8" s="2" t="n"/>
      <c r="E8" s="3" t="n"/>
      <c r="F8" s="3" t="n"/>
      <c r="G8" s="5" t="n"/>
    </row>
    <row r="9" ht="25.5" customHeight="1">
      <c r="B9" s="6" t="n">
        <v>5</v>
      </c>
      <c r="C9" s="1" t="n"/>
      <c r="D9" s="2" t="n"/>
      <c r="E9" s="3" t="n"/>
      <c r="F9" s="3" t="n"/>
      <c r="G9" s="5" t="n"/>
    </row>
    <row r="10" ht="25.5" customHeight="1" thickBot="1">
      <c r="B10" s="6" t="n">
        <v>6</v>
      </c>
      <c r="C10" s="1" t="n"/>
      <c r="D10" s="2" t="n"/>
      <c r="E10" s="3" t="n"/>
      <c r="F10" s="3" t="n"/>
      <c r="G10" s="5" t="n"/>
    </row>
    <row r="11" ht="25.5" customHeight="1">
      <c r="B11" s="6" t="n">
        <v>7</v>
      </c>
      <c r="C11" s="1" t="n"/>
      <c r="D11" s="2" t="n"/>
      <c r="E11" s="3" t="n"/>
      <c r="F11" s="3" t="n"/>
      <c r="G11" s="5" t="n"/>
      <c r="K11" s="96" t="inlineStr">
        <is>
          <t>کلاس‌های تابستان</t>
        </is>
      </c>
      <c r="L11" s="20" t="n"/>
      <c r="M11" s="20" t="n"/>
      <c r="N11" s="20" t="n"/>
      <c r="O11" s="20" t="n"/>
      <c r="P11" s="20" t="n"/>
      <c r="Q11" s="20" t="n"/>
      <c r="R11" s="21" t="n"/>
    </row>
    <row r="12" ht="25.5" customHeight="1" thickBot="1">
      <c r="B12" s="6" t="n">
        <v>8</v>
      </c>
      <c r="C12" s="1" t="n"/>
      <c r="D12" s="2" t="n"/>
      <c r="E12" s="3" t="n"/>
      <c r="F12" s="3" t="n"/>
      <c r="G12" s="5" t="n"/>
      <c r="K12" s="33" t="n"/>
      <c r="L12" s="34" t="n"/>
      <c r="M12" s="34" t="n"/>
      <c r="N12" s="34" t="n"/>
      <c r="O12" s="34" t="n"/>
      <c r="P12" s="34" t="n"/>
      <c r="Q12" s="34" t="n"/>
      <c r="R12" s="35" t="n"/>
    </row>
    <row r="13" ht="25.5" customHeight="1">
      <c r="B13" s="6" t="n">
        <v>9</v>
      </c>
      <c r="C13" s="1" t="n"/>
      <c r="D13" s="2" t="n"/>
      <c r="E13" s="3" t="n"/>
      <c r="F13" s="3" t="n"/>
      <c r="G13" s="5" t="n"/>
    </row>
    <row r="14" ht="25.5" customHeight="1">
      <c r="B14" s="6" t="n">
        <v>10</v>
      </c>
      <c r="C14" s="1" t="n"/>
      <c r="D14" s="2" t="n"/>
      <c r="E14" s="3" t="n"/>
      <c r="F14" s="3" t="n"/>
      <c r="G14" s="5" t="n"/>
    </row>
    <row r="15" ht="25.5" customHeight="1">
      <c r="B15" s="6" t="n">
        <v>11</v>
      </c>
      <c r="C15" s="1" t="n"/>
      <c r="D15" s="2" t="n"/>
      <c r="E15" s="3" t="n"/>
      <c r="F15" s="3" t="n"/>
      <c r="G15" s="5" t="n"/>
    </row>
    <row r="16" ht="25.5" customHeight="1">
      <c r="B16" s="6" t="n">
        <v>12</v>
      </c>
      <c r="C16" s="1" t="n"/>
      <c r="D16" s="2" t="n"/>
      <c r="E16" s="3" t="n"/>
      <c r="F16" s="3" t="n"/>
      <c r="G16" s="5" t="n"/>
    </row>
    <row r="17" ht="25.5" customHeight="1">
      <c r="B17" s="6" t="n">
        <v>13</v>
      </c>
      <c r="C17" s="1" t="n"/>
      <c r="D17" s="2" t="n"/>
      <c r="E17" s="3" t="n"/>
      <c r="F17" s="3" t="n"/>
      <c r="G17" s="5" t="n"/>
    </row>
    <row r="18" ht="25.5" customHeight="1">
      <c r="B18" s="6" t="n">
        <v>14</v>
      </c>
      <c r="C18" s="1" t="n"/>
      <c r="D18" s="2" t="n"/>
      <c r="E18" s="3" t="n"/>
      <c r="F18" s="3" t="n"/>
      <c r="G18" s="5" t="n"/>
    </row>
    <row r="19" ht="25.5" customHeight="1" thickBot="1">
      <c r="B19" s="7" t="n">
        <v>15</v>
      </c>
      <c r="C19" s="8" t="n"/>
      <c r="D19" s="9" t="n"/>
      <c r="E19" s="10" t="n"/>
      <c r="F19" s="10" t="n"/>
      <c r="G19" s="11" t="n"/>
    </row>
  </sheetData>
  <mergeCells count="1">
    <mergeCell ref="K11:R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4:R19"/>
  <sheetViews>
    <sheetView workbookViewId="0">
      <selection activeCell="G22" sqref="G22"/>
    </sheetView>
  </sheetViews>
  <sheetFormatPr baseColWidth="8" defaultRowHeight="14.4"/>
  <cols>
    <col width="13.109375" customWidth="1" min="3" max="3"/>
    <col width="15.88671875" customWidth="1" min="5" max="7"/>
    <col width="23.6640625" customWidth="1" min="8" max="8"/>
  </cols>
  <sheetData>
    <row r="3" ht="15" customHeight="1" thickBot="1"/>
    <row r="4">
      <c r="B4" s="12" t="inlineStr">
        <is>
          <t>ردیف</t>
        </is>
      </c>
      <c r="C4" s="13" t="inlineStr">
        <is>
          <t>کلاس</t>
        </is>
      </c>
      <c r="D4" s="13" t="inlineStr">
        <is>
          <t>آبزرو</t>
        </is>
      </c>
      <c r="E4" s="13" t="inlineStr">
        <is>
          <t>ارزشیابی مجازی</t>
        </is>
      </c>
      <c r="F4" s="13" t="inlineStr">
        <is>
          <t>ارزشیابی حضوری</t>
        </is>
      </c>
      <c r="G4" s="14" t="inlineStr">
        <is>
          <t>تاریخ</t>
        </is>
      </c>
      <c r="H4" s="17" t="inlineStr">
        <is>
          <t>ضریب جذب پائیز به زمستان</t>
        </is>
      </c>
    </row>
    <row r="5" ht="25.5" customHeight="1" thickBot="1">
      <c r="B5" s="4" t="n">
        <v>1</v>
      </c>
      <c r="C5" s="1" t="n"/>
      <c r="D5" s="2" t="n"/>
      <c r="E5" s="3" t="n"/>
      <c r="F5" s="3" t="n"/>
      <c r="G5" s="5" t="n"/>
      <c r="H5" s="18" t="n"/>
    </row>
    <row r="6" ht="25.5" customHeight="1">
      <c r="B6" s="6" t="n">
        <v>2</v>
      </c>
      <c r="C6" s="1" t="n"/>
      <c r="D6" s="2" t="n"/>
      <c r="E6" s="3" t="n"/>
      <c r="F6" s="3" t="n"/>
      <c r="G6" s="5" t="n"/>
    </row>
    <row r="7" ht="25.5" customHeight="1">
      <c r="B7" s="6" t="n">
        <v>3</v>
      </c>
      <c r="C7" s="1" t="n"/>
      <c r="D7" s="2" t="n"/>
      <c r="E7" s="3" t="n"/>
      <c r="F7" s="3" t="n"/>
      <c r="G7" s="5" t="n"/>
    </row>
    <row r="8" ht="25.5" customHeight="1">
      <c r="B8" s="6" t="n">
        <v>4</v>
      </c>
      <c r="C8" s="1" t="n"/>
      <c r="D8" s="2" t="n"/>
      <c r="E8" s="3" t="n"/>
      <c r="F8" s="3" t="n"/>
      <c r="G8" s="5" t="n"/>
    </row>
    <row r="9" ht="25.5" customHeight="1">
      <c r="B9" s="6" t="n">
        <v>5</v>
      </c>
      <c r="C9" s="1" t="n"/>
      <c r="D9" s="2" t="n"/>
      <c r="E9" s="3" t="n"/>
      <c r="F9" s="3" t="n"/>
      <c r="G9" s="5" t="n"/>
    </row>
    <row r="10" ht="25.5" customHeight="1" thickBot="1">
      <c r="B10" s="6" t="n">
        <v>6</v>
      </c>
      <c r="C10" s="1" t="n"/>
      <c r="D10" s="2" t="n"/>
      <c r="E10" s="3" t="n"/>
      <c r="F10" s="3" t="n"/>
      <c r="G10" s="5" t="n"/>
    </row>
    <row r="11" ht="25.5" customHeight="1">
      <c r="B11" s="6" t="n">
        <v>7</v>
      </c>
      <c r="C11" s="1" t="n"/>
      <c r="D11" s="2" t="n"/>
      <c r="E11" s="3" t="n"/>
      <c r="F11" s="3" t="n"/>
      <c r="G11" s="5" t="n"/>
      <c r="K11" s="96" t="inlineStr">
        <is>
          <t>کلاس‌های پائیز</t>
        </is>
      </c>
      <c r="L11" s="20" t="n"/>
      <c r="M11" s="20" t="n"/>
      <c r="N11" s="20" t="n"/>
      <c r="O11" s="20" t="n"/>
      <c r="P11" s="20" t="n"/>
      <c r="Q11" s="20" t="n"/>
      <c r="R11" s="21" t="n"/>
    </row>
    <row r="12" ht="25.5" customHeight="1" thickBot="1">
      <c r="B12" s="6" t="n">
        <v>8</v>
      </c>
      <c r="C12" s="1" t="n"/>
      <c r="D12" s="2" t="n"/>
      <c r="E12" s="3" t="n"/>
      <c r="F12" s="3" t="n"/>
      <c r="G12" s="5" t="n"/>
      <c r="K12" s="33" t="n"/>
      <c r="L12" s="34" t="n"/>
      <c r="M12" s="34" t="n"/>
      <c r="N12" s="34" t="n"/>
      <c r="O12" s="34" t="n"/>
      <c r="P12" s="34" t="n"/>
      <c r="Q12" s="34" t="n"/>
      <c r="R12" s="35" t="n"/>
    </row>
    <row r="13" ht="25.5" customHeight="1">
      <c r="B13" s="6" t="n">
        <v>9</v>
      </c>
      <c r="C13" s="1" t="n"/>
      <c r="D13" s="2" t="n"/>
      <c r="E13" s="3" t="n"/>
      <c r="F13" s="3" t="n"/>
      <c r="G13" s="5" t="n"/>
    </row>
    <row r="14" ht="25.5" customHeight="1">
      <c r="B14" s="6" t="n">
        <v>10</v>
      </c>
      <c r="C14" s="1" t="n"/>
      <c r="D14" s="2" t="n"/>
      <c r="E14" s="3" t="n"/>
      <c r="F14" s="3" t="n"/>
      <c r="G14" s="5" t="n"/>
    </row>
    <row r="15" ht="25.5" customHeight="1">
      <c r="B15" s="6" t="n">
        <v>11</v>
      </c>
      <c r="C15" s="1" t="n"/>
      <c r="D15" s="2" t="n"/>
      <c r="E15" s="3" t="n"/>
      <c r="F15" s="3" t="n"/>
      <c r="G15" s="5" t="n"/>
    </row>
    <row r="16" ht="25.5" customHeight="1">
      <c r="B16" s="6" t="n">
        <v>12</v>
      </c>
      <c r="C16" s="1" t="n"/>
      <c r="D16" s="2" t="n"/>
      <c r="E16" s="3" t="n"/>
      <c r="F16" s="3" t="n"/>
      <c r="G16" s="5" t="n"/>
    </row>
    <row r="17" ht="25.5" customHeight="1">
      <c r="B17" s="6" t="n">
        <v>13</v>
      </c>
      <c r="C17" s="1" t="n"/>
      <c r="D17" s="2" t="n"/>
      <c r="E17" s="3" t="n"/>
      <c r="F17" s="3" t="n"/>
      <c r="G17" s="5" t="n"/>
    </row>
    <row r="18" ht="25.5" customHeight="1">
      <c r="B18" s="6" t="n">
        <v>14</v>
      </c>
      <c r="C18" s="1" t="n"/>
      <c r="D18" s="2" t="n"/>
      <c r="E18" s="3" t="n"/>
      <c r="F18" s="3" t="n"/>
      <c r="G18" s="5" t="n"/>
    </row>
    <row r="19" ht="25.5" customHeight="1" thickBot="1">
      <c r="B19" s="7" t="n">
        <v>15</v>
      </c>
      <c r="C19" s="8" t="n"/>
      <c r="D19" s="9" t="n"/>
      <c r="E19" s="10" t="n"/>
      <c r="F19" s="10" t="n"/>
      <c r="G19" s="11" t="n"/>
    </row>
  </sheetData>
  <mergeCells count="1">
    <mergeCell ref="K11:R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4:R19"/>
  <sheetViews>
    <sheetView workbookViewId="0">
      <selection activeCell="H10" sqref="H10"/>
    </sheetView>
  </sheetViews>
  <sheetFormatPr baseColWidth="8" defaultRowHeight="14.4"/>
  <cols>
    <col width="13.109375" customWidth="1" min="3" max="3"/>
    <col width="15.88671875" customWidth="1" min="5" max="7"/>
    <col width="23.6640625" customWidth="1" min="8" max="8"/>
  </cols>
  <sheetData>
    <row r="3" ht="15" customHeight="1" thickBot="1"/>
    <row r="4">
      <c r="B4" s="12" t="inlineStr">
        <is>
          <t>ردیف</t>
        </is>
      </c>
      <c r="C4" s="13" t="inlineStr">
        <is>
          <t>کلاس</t>
        </is>
      </c>
      <c r="D4" s="13" t="inlineStr">
        <is>
          <t>آبزرو</t>
        </is>
      </c>
      <c r="E4" s="13" t="inlineStr">
        <is>
          <t>ارزشیابی مجازی</t>
        </is>
      </c>
      <c r="F4" s="13" t="inlineStr">
        <is>
          <t>ارزشیابی حضوری</t>
        </is>
      </c>
      <c r="G4" s="14" t="inlineStr">
        <is>
          <t>تاریخ</t>
        </is>
      </c>
      <c r="H4" s="17" t="inlineStr">
        <is>
          <t>ضریب جذب زمستان به بهار</t>
        </is>
      </c>
    </row>
    <row r="5" ht="25.5" customHeight="1" thickBot="1">
      <c r="B5" s="4" t="n">
        <v>1</v>
      </c>
      <c r="C5" s="1" t="n"/>
      <c r="D5" s="2" t="n"/>
      <c r="E5" s="3" t="n"/>
      <c r="F5" s="3" t="n"/>
      <c r="G5" s="5" t="n"/>
      <c r="H5" s="18" t="n"/>
    </row>
    <row r="6" ht="25.5" customHeight="1">
      <c r="B6" s="6" t="n">
        <v>2</v>
      </c>
      <c r="C6" s="1" t="n"/>
      <c r="D6" s="2" t="n"/>
      <c r="E6" s="3" t="n"/>
      <c r="F6" s="3" t="n"/>
      <c r="G6" s="5" t="n"/>
    </row>
    <row r="7" ht="25.5" customHeight="1">
      <c r="B7" s="6" t="n">
        <v>3</v>
      </c>
      <c r="C7" s="1" t="n"/>
      <c r="D7" s="2" t="n"/>
      <c r="E7" s="3" t="n"/>
      <c r="F7" s="3" t="n"/>
      <c r="G7" s="5" t="n"/>
    </row>
    <row r="8" ht="25.5" customHeight="1">
      <c r="B8" s="6" t="n">
        <v>4</v>
      </c>
      <c r="C8" s="1" t="n"/>
      <c r="D8" s="2" t="n"/>
      <c r="E8" s="3" t="n"/>
      <c r="F8" s="3" t="n"/>
      <c r="G8" s="5" t="n"/>
    </row>
    <row r="9" ht="25.5" customHeight="1">
      <c r="B9" s="6" t="n">
        <v>5</v>
      </c>
      <c r="C9" s="1" t="n"/>
      <c r="D9" s="2" t="n"/>
      <c r="E9" s="3" t="n"/>
      <c r="F9" s="3" t="n"/>
      <c r="G9" s="5" t="n"/>
    </row>
    <row r="10" ht="25.5" customHeight="1" thickBot="1">
      <c r="B10" s="6" t="n">
        <v>6</v>
      </c>
      <c r="C10" s="1" t="n"/>
      <c r="D10" s="2" t="n"/>
      <c r="E10" s="3" t="n"/>
      <c r="F10" s="3" t="n"/>
      <c r="G10" s="5" t="n"/>
    </row>
    <row r="11" ht="25.5" customHeight="1">
      <c r="B11" s="6" t="n">
        <v>7</v>
      </c>
      <c r="C11" s="1" t="n"/>
      <c r="D11" s="2" t="n"/>
      <c r="E11" s="3" t="n"/>
      <c r="F11" s="3" t="n"/>
      <c r="G11" s="5" t="n"/>
      <c r="K11" s="96" t="inlineStr">
        <is>
          <t>کلاس‌های زمستان</t>
        </is>
      </c>
      <c r="L11" s="20" t="n"/>
      <c r="M11" s="20" t="n"/>
      <c r="N11" s="20" t="n"/>
      <c r="O11" s="20" t="n"/>
      <c r="P11" s="20" t="n"/>
      <c r="Q11" s="20" t="n"/>
      <c r="R11" s="21" t="n"/>
    </row>
    <row r="12" ht="25.5" customHeight="1" thickBot="1">
      <c r="B12" s="6" t="n">
        <v>8</v>
      </c>
      <c r="C12" s="1" t="n"/>
      <c r="D12" s="2" t="n"/>
      <c r="E12" s="3" t="n"/>
      <c r="F12" s="3" t="n"/>
      <c r="G12" s="5" t="n"/>
      <c r="K12" s="33" t="n"/>
      <c r="L12" s="34" t="n"/>
      <c r="M12" s="34" t="n"/>
      <c r="N12" s="34" t="n"/>
      <c r="O12" s="34" t="n"/>
      <c r="P12" s="34" t="n"/>
      <c r="Q12" s="34" t="n"/>
      <c r="R12" s="35" t="n"/>
    </row>
    <row r="13" ht="25.5" customHeight="1">
      <c r="B13" s="6" t="n">
        <v>9</v>
      </c>
      <c r="C13" s="1" t="n"/>
      <c r="D13" s="2" t="n"/>
      <c r="E13" s="3" t="n"/>
      <c r="F13" s="3" t="n"/>
      <c r="G13" s="5" t="n"/>
    </row>
    <row r="14" ht="25.5" customHeight="1">
      <c r="B14" s="6" t="n">
        <v>10</v>
      </c>
      <c r="C14" s="1" t="n"/>
      <c r="D14" s="2" t="n"/>
      <c r="E14" s="3" t="n"/>
      <c r="F14" s="3" t="n"/>
      <c r="G14" s="5" t="n"/>
    </row>
    <row r="15" ht="25.5" customHeight="1">
      <c r="B15" s="6" t="n">
        <v>11</v>
      </c>
      <c r="C15" s="1" t="n"/>
      <c r="D15" s="2" t="n"/>
      <c r="E15" s="3" t="n"/>
      <c r="F15" s="3" t="n"/>
      <c r="G15" s="5" t="n"/>
    </row>
    <row r="16" ht="25.5" customHeight="1">
      <c r="B16" s="6" t="n">
        <v>12</v>
      </c>
      <c r="C16" s="1" t="n"/>
      <c r="D16" s="2" t="n"/>
      <c r="E16" s="3" t="n"/>
      <c r="F16" s="3" t="n"/>
      <c r="G16" s="5" t="n"/>
    </row>
    <row r="17" ht="25.5" customHeight="1">
      <c r="B17" s="6" t="n">
        <v>13</v>
      </c>
      <c r="C17" s="1" t="n"/>
      <c r="D17" s="2" t="n"/>
      <c r="E17" s="3" t="n"/>
      <c r="F17" s="3" t="n"/>
      <c r="G17" s="5" t="n"/>
    </row>
    <row r="18" ht="25.5" customHeight="1">
      <c r="B18" s="6" t="n">
        <v>14</v>
      </c>
      <c r="C18" s="1" t="n"/>
      <c r="D18" s="2" t="n"/>
      <c r="E18" s="3" t="n"/>
      <c r="F18" s="3" t="n"/>
      <c r="G18" s="5" t="n"/>
    </row>
    <row r="19" ht="25.5" customHeight="1" thickBot="1">
      <c r="B19" s="7" t="n">
        <v>15</v>
      </c>
      <c r="C19" s="8" t="n"/>
      <c r="D19" s="9" t="n"/>
      <c r="E19" s="10" t="n"/>
      <c r="F19" s="10" t="n"/>
      <c r="G19" s="11" t="n"/>
    </row>
  </sheetData>
  <mergeCells count="1">
    <mergeCell ref="K11:R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U83"/>
  <sheetViews>
    <sheetView workbookViewId="0">
      <selection activeCell="Y19" sqref="Y19"/>
    </sheetView>
  </sheetViews>
  <sheetFormatPr baseColWidth="8" defaultRowHeight="14.4"/>
  <cols>
    <col width="14.109375" customWidth="1" min="3" max="3"/>
    <col width="17.88671875" customWidth="1" min="4" max="4"/>
    <col width="13.33203125" customWidth="1" min="5" max="5"/>
  </cols>
  <sheetData>
    <row r="2" ht="15" customHeight="1" thickBot="1"/>
    <row r="3">
      <c r="B3" s="19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1" t="n"/>
      <c r="R3" s="97" t="inlineStr">
        <is>
          <t>Major department(s)</t>
        </is>
      </c>
      <c r="S3" s="20" t="n"/>
      <c r="T3" s="20" t="n"/>
      <c r="U3" s="21" t="n"/>
    </row>
    <row r="4" ht="15" customHeight="1" thickBot="1">
      <c r="B4" s="22" t="n"/>
      <c r="O4" s="23" t="n"/>
      <c r="R4" s="98" t="n"/>
      <c r="U4" s="99" t="n"/>
    </row>
    <row r="5" ht="18" customHeight="1">
      <c r="B5" s="22" t="n"/>
      <c r="C5" s="55" t="inlineStr">
        <is>
          <t>Pre Kc/Kc</t>
        </is>
      </c>
      <c r="D5" s="100" t="n"/>
      <c r="E5" s="101" t="n"/>
      <c r="O5" s="23" t="n"/>
      <c r="R5" s="98" t="n"/>
      <c r="U5" s="99" t="n"/>
    </row>
    <row r="6" ht="15.6" customHeight="1">
      <c r="B6" s="22" t="n"/>
      <c r="C6" s="24" t="inlineStr">
        <is>
          <t>Pre-A1</t>
        </is>
      </c>
      <c r="D6" s="25" t="inlineStr">
        <is>
          <t>Pre-KC / KC2d</t>
        </is>
      </c>
      <c r="E6" s="26" t="n">
        <v>1</v>
      </c>
      <c r="O6" s="23" t="n"/>
      <c r="R6" s="98" t="n"/>
      <c r="U6" s="99" t="n"/>
    </row>
    <row r="7" ht="15.6" customHeight="1">
      <c r="B7" s="22" t="n"/>
      <c r="C7" s="27" t="inlineStr">
        <is>
          <t>A1</t>
        </is>
      </c>
      <c r="D7" s="28" t="inlineStr">
        <is>
          <t>KC3a/KC3d</t>
        </is>
      </c>
      <c r="E7" s="29" t="n">
        <v>2</v>
      </c>
      <c r="O7" s="23" t="n"/>
      <c r="R7" s="98" t="n"/>
      <c r="U7" s="99" t="n"/>
    </row>
    <row r="8" ht="16.2" customHeight="1" thickBot="1">
      <c r="B8" s="22" t="n"/>
      <c r="C8" s="30" t="inlineStr">
        <is>
          <t>A1+</t>
        </is>
      </c>
      <c r="D8" s="31" t="inlineStr">
        <is>
          <t>KC4a/KC4c</t>
        </is>
      </c>
      <c r="E8" s="32" t="n">
        <v>3</v>
      </c>
      <c r="O8" s="23" t="n"/>
      <c r="R8" s="98" t="n"/>
      <c r="U8" s="99" t="n"/>
    </row>
    <row r="9">
      <c r="B9" s="22" t="n"/>
      <c r="O9" s="23" t="n"/>
      <c r="R9" s="98" t="n"/>
      <c r="U9" s="99" t="n"/>
    </row>
    <row r="10">
      <c r="B10" s="22" t="n"/>
      <c r="O10" s="23" t="n"/>
      <c r="R10" s="98" t="n"/>
      <c r="U10" s="99" t="n"/>
    </row>
    <row r="11">
      <c r="B11" s="22" t="n"/>
      <c r="O11" s="23" t="n"/>
      <c r="R11" s="98" t="n"/>
      <c r="U11" s="99" t="n"/>
    </row>
    <row r="12" ht="15" customHeight="1" thickBot="1">
      <c r="B12" s="22" t="n"/>
      <c r="O12" s="23" t="n"/>
      <c r="R12" s="33" t="n"/>
      <c r="S12" s="34" t="n"/>
      <c r="T12" s="34" t="n"/>
      <c r="U12" s="35" t="n"/>
    </row>
    <row r="13">
      <c r="B13" s="22" t="n"/>
      <c r="O13" s="23" t="n"/>
      <c r="R13" s="102" t="n"/>
      <c r="S13" s="20" t="n"/>
      <c r="T13" s="20" t="n"/>
      <c r="U13" s="21" t="n"/>
    </row>
    <row r="14">
      <c r="B14" s="22" t="n"/>
      <c r="O14" s="23" t="n"/>
      <c r="R14" s="98" t="n"/>
      <c r="U14" s="99" t="n"/>
    </row>
    <row r="15" ht="15" customHeight="1" thickBot="1">
      <c r="B15" s="22" t="n"/>
      <c r="O15" s="23" t="n"/>
      <c r="R15" s="33" t="n"/>
      <c r="S15" s="34" t="n"/>
      <c r="T15" s="34" t="n"/>
      <c r="U15" s="35" t="n"/>
    </row>
    <row r="16" ht="15" customHeight="1" thickBot="1">
      <c r="B16" s="33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5" t="n"/>
    </row>
    <row r="17" ht="15" customHeight="1" thickBot="1"/>
    <row r="18"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1" t="n"/>
    </row>
    <row r="19">
      <c r="B19" s="22" t="n"/>
      <c r="O19" s="23" t="n"/>
    </row>
    <row r="20" ht="15" customHeight="1" thickBot="1">
      <c r="B20" s="22" t="n"/>
      <c r="O20" s="23" t="n"/>
    </row>
    <row r="21" ht="18" customHeight="1">
      <c r="B21" s="22" t="n"/>
      <c r="C21" s="55" t="inlineStr">
        <is>
          <t>CES</t>
        </is>
      </c>
      <c r="D21" s="100" t="n"/>
      <c r="E21" s="101" t="n"/>
      <c r="O21" s="23" t="n"/>
    </row>
    <row r="22" ht="15.6" customHeight="1">
      <c r="B22" s="22" t="n"/>
      <c r="C22" s="24" t="inlineStr">
        <is>
          <t>A1</t>
        </is>
      </c>
      <c r="D22" s="25" t="inlineStr">
        <is>
          <t>StA/C</t>
        </is>
      </c>
      <c r="E22" s="26" t="n">
        <v>1</v>
      </c>
      <c r="O22" s="23" t="n"/>
    </row>
    <row r="23" ht="15.6" customHeight="1">
      <c r="B23" s="22" t="n"/>
      <c r="C23" s="27" t="inlineStr">
        <is>
          <t>A1+</t>
        </is>
      </c>
      <c r="D23" s="28" t="inlineStr">
        <is>
          <t>CES1/2</t>
        </is>
      </c>
      <c r="E23" s="29" t="n">
        <v>2</v>
      </c>
      <c r="O23" s="23" t="n"/>
    </row>
    <row r="24" ht="15.6" customHeight="1">
      <c r="B24" s="22" t="n"/>
      <c r="C24" s="24" t="inlineStr">
        <is>
          <t>A2</t>
        </is>
      </c>
      <c r="D24" s="25" t="inlineStr">
        <is>
          <t>CES3</t>
        </is>
      </c>
      <c r="E24" s="26" t="n">
        <v>3</v>
      </c>
      <c r="O24" s="23" t="n"/>
    </row>
    <row r="25" ht="15.6" customHeight="1">
      <c r="B25" s="22" t="n"/>
      <c r="C25" s="27" t="inlineStr">
        <is>
          <t>A2+</t>
        </is>
      </c>
      <c r="D25" s="28" t="inlineStr">
        <is>
          <t>CES4/5</t>
        </is>
      </c>
      <c r="E25" s="29" t="n">
        <v>4</v>
      </c>
      <c r="O25" s="23" t="n"/>
    </row>
    <row r="26" ht="16.2" customHeight="1" thickBot="1">
      <c r="B26" s="22" t="n"/>
      <c r="C26" s="30" t="inlineStr">
        <is>
          <t>B1</t>
        </is>
      </c>
      <c r="D26" s="31" t="inlineStr">
        <is>
          <t>CES6</t>
        </is>
      </c>
      <c r="E26" s="32" t="n">
        <v>5</v>
      </c>
      <c r="O26" s="23" t="n"/>
    </row>
    <row r="27">
      <c r="B27" s="22" t="n"/>
      <c r="O27" s="23" t="n"/>
    </row>
    <row r="28">
      <c r="B28" s="22" t="n"/>
      <c r="O28" s="23" t="n"/>
    </row>
    <row r="29">
      <c r="B29" s="22" t="n"/>
      <c r="O29" s="23" t="n"/>
    </row>
    <row r="30">
      <c r="B30" s="22" t="n"/>
      <c r="O30" s="23" t="n"/>
    </row>
    <row r="31">
      <c r="B31" s="22" t="n"/>
      <c r="O31" s="23" t="n"/>
    </row>
    <row r="32">
      <c r="B32" s="22" t="n"/>
      <c r="O32" s="23" t="n"/>
    </row>
    <row r="33">
      <c r="B33" s="22" t="n"/>
      <c r="O33" s="23" t="n"/>
    </row>
    <row r="34">
      <c r="B34" s="22" t="n"/>
      <c r="O34" s="23" t="n"/>
    </row>
    <row r="35" ht="15" customHeight="1" thickBot="1">
      <c r="B35" s="33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5" t="n"/>
    </row>
    <row r="37" ht="15" customHeight="1" thickBot="1"/>
    <row r="38"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1" t="n"/>
    </row>
    <row r="39">
      <c r="B39" s="22" t="n"/>
      <c r="O39" s="23" t="n"/>
    </row>
    <row r="40">
      <c r="B40" s="22" t="n"/>
      <c r="O40" s="23" t="n"/>
    </row>
    <row r="41" ht="15" customHeight="1" thickBot="1">
      <c r="B41" s="22" t="n"/>
      <c r="O41" s="23" t="n"/>
    </row>
    <row r="42" ht="18" customHeight="1">
      <c r="B42" s="22" t="n"/>
      <c r="C42" s="55" t="inlineStr">
        <is>
          <t>MIC</t>
        </is>
      </c>
      <c r="D42" s="100" t="n"/>
      <c r="E42" s="101" t="n"/>
      <c r="O42" s="23" t="n"/>
    </row>
    <row r="43" ht="15.6" customHeight="1">
      <c r="B43" s="22" t="n"/>
      <c r="C43" s="24" t="inlineStr">
        <is>
          <t>A1</t>
        </is>
      </c>
      <c r="D43" s="25" t="inlineStr">
        <is>
          <t>Basics</t>
        </is>
      </c>
      <c r="E43" s="26" t="n">
        <v>1</v>
      </c>
      <c r="O43" s="23" t="n"/>
    </row>
    <row r="44" ht="15.6" customHeight="1">
      <c r="B44" s="22" t="n"/>
      <c r="C44" s="27" t="inlineStr">
        <is>
          <t>A1+</t>
        </is>
      </c>
      <c r="D44" s="28" t="inlineStr">
        <is>
          <t>SE1/2</t>
        </is>
      </c>
      <c r="E44" s="29" t="n">
        <v>2</v>
      </c>
      <c r="O44" s="23" t="n"/>
    </row>
    <row r="45" ht="15.6" customHeight="1">
      <c r="B45" s="22" t="n"/>
      <c r="C45" s="24" t="inlineStr">
        <is>
          <t>A2</t>
        </is>
      </c>
      <c r="D45" s="25" t="inlineStr">
        <is>
          <t>SE3/4</t>
        </is>
      </c>
      <c r="E45" s="26" t="n">
        <v>3</v>
      </c>
      <c r="O45" s="23" t="n"/>
    </row>
    <row r="46" ht="15.6" customHeight="1">
      <c r="B46" s="22" t="n"/>
      <c r="C46" s="27" t="inlineStr">
        <is>
          <t>A2+</t>
        </is>
      </c>
      <c r="D46" s="28" t="inlineStr">
        <is>
          <t>SP1/4</t>
        </is>
      </c>
      <c r="E46" s="29" t="n">
        <v>4</v>
      </c>
      <c r="O46" s="23" t="n"/>
    </row>
    <row r="47" ht="15.6" customHeight="1">
      <c r="B47" s="22" t="n"/>
      <c r="C47" s="24" t="inlineStr">
        <is>
          <t>B1</t>
        </is>
      </c>
      <c r="D47" s="25" t="inlineStr">
        <is>
          <t>SI1/2</t>
        </is>
      </c>
      <c r="E47" s="26" t="n">
        <v>5</v>
      </c>
      <c r="O47" s="23" t="n"/>
    </row>
    <row r="48" ht="15.6" customHeight="1">
      <c r="B48" s="22" t="n"/>
      <c r="C48" s="27" t="inlineStr">
        <is>
          <t>B1+</t>
        </is>
      </c>
      <c r="D48" s="28" t="inlineStr">
        <is>
          <t>SI3/4</t>
        </is>
      </c>
      <c r="E48" s="29" t="n">
        <v>6</v>
      </c>
      <c r="O48" s="23" t="n"/>
    </row>
    <row r="49" ht="15.6" customHeight="1">
      <c r="B49" s="22" t="n"/>
      <c r="C49" s="24" t="inlineStr">
        <is>
          <t>B2</t>
        </is>
      </c>
      <c r="D49" s="25" t="inlineStr">
        <is>
          <t>SU1/2</t>
        </is>
      </c>
      <c r="E49" s="26" t="n">
        <v>7</v>
      </c>
      <c r="O49" s="23" t="n"/>
    </row>
    <row r="50" ht="15.6" customHeight="1">
      <c r="B50" s="22" t="n"/>
      <c r="C50" s="27" t="inlineStr">
        <is>
          <t>B2+</t>
        </is>
      </c>
      <c r="D50" s="28" t="inlineStr">
        <is>
          <t>SU3/4</t>
        </is>
      </c>
      <c r="E50" s="29" t="n">
        <v>8</v>
      </c>
      <c r="O50" s="23" t="n"/>
    </row>
    <row r="51">
      <c r="B51" s="22" t="n"/>
      <c r="O51" s="23" t="n"/>
    </row>
    <row r="52">
      <c r="B52" s="22" t="n"/>
      <c r="O52" s="23" t="n"/>
    </row>
    <row r="53">
      <c r="B53" s="22" t="n"/>
      <c r="O53" s="23" t="n"/>
    </row>
    <row r="54">
      <c r="B54" s="22" t="n"/>
      <c r="O54" s="23" t="n"/>
    </row>
    <row r="55">
      <c r="B55" s="22" t="n"/>
      <c r="O55" s="23" t="n"/>
    </row>
    <row r="56">
      <c r="B56" s="22" t="n"/>
      <c r="O56" s="23" t="n"/>
    </row>
    <row r="57" ht="15" customHeight="1" thickBot="1">
      <c r="B57" s="33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5" t="n"/>
    </row>
    <row r="59" ht="15" customHeight="1" thickBot="1"/>
    <row r="60">
      <c r="B60" s="19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1" t="n"/>
    </row>
    <row r="61" ht="15" customHeight="1" thickBot="1">
      <c r="B61" s="22" t="n"/>
      <c r="O61" s="23" t="n"/>
    </row>
    <row r="62" ht="18" customHeight="1">
      <c r="B62" s="22" t="n"/>
      <c r="C62" s="55" t="inlineStr">
        <is>
          <t>Adults (CO-CPE)</t>
        </is>
      </c>
      <c r="D62" s="100" t="n"/>
      <c r="E62" s="101" t="n"/>
      <c r="O62" s="23" t="n"/>
    </row>
    <row r="63" ht="15.6" customHeight="1">
      <c r="B63" s="22" t="n"/>
      <c r="C63" s="24" t="inlineStr">
        <is>
          <t>A1</t>
        </is>
      </c>
      <c r="D63" s="25" t="inlineStr">
        <is>
          <t>COZ/2</t>
        </is>
      </c>
      <c r="E63" s="26" t="n">
        <v>5</v>
      </c>
      <c r="O63" s="23" t="n"/>
    </row>
    <row r="64" ht="15.6" customHeight="1">
      <c r="B64" s="22" t="n"/>
      <c r="C64" s="27" t="inlineStr">
        <is>
          <t>A1+</t>
        </is>
      </c>
      <c r="D64" s="28" t="inlineStr">
        <is>
          <t>CO3/4</t>
        </is>
      </c>
      <c r="E64" s="29" t="n">
        <v>10</v>
      </c>
      <c r="O64" s="23" t="n"/>
    </row>
    <row r="65" ht="15.6" customHeight="1">
      <c r="B65" s="22" t="n"/>
      <c r="C65" s="24" t="inlineStr">
        <is>
          <t>A2</t>
        </is>
      </c>
      <c r="D65" s="25" t="inlineStr">
        <is>
          <t>CO4+/CO5</t>
        </is>
      </c>
      <c r="E65" s="26" t="n">
        <v>9</v>
      </c>
      <c r="O65" s="23" t="n"/>
    </row>
    <row r="66" ht="15.6" customHeight="1">
      <c r="B66" s="22" t="n"/>
      <c r="C66" s="27" t="inlineStr">
        <is>
          <t>A2+</t>
        </is>
      </c>
      <c r="D66" s="28" t="inlineStr">
        <is>
          <t>CO6/6+</t>
        </is>
      </c>
      <c r="E66" s="29" t="n">
        <v>8</v>
      </c>
      <c r="O66" s="23" t="n"/>
    </row>
    <row r="67" ht="15.6" customHeight="1">
      <c r="B67" s="22" t="n"/>
      <c r="C67" s="24" t="inlineStr">
        <is>
          <t>B1</t>
        </is>
      </c>
      <c r="D67" s="25" t="inlineStr">
        <is>
          <t>CO7/8</t>
        </is>
      </c>
      <c r="E67" s="26" t="n">
        <v>7</v>
      </c>
      <c r="O67" s="23" t="n"/>
    </row>
    <row r="68" ht="15.6" customHeight="1">
      <c r="B68" s="22" t="n"/>
      <c r="C68" s="27" t="inlineStr">
        <is>
          <t>B1+</t>
        </is>
      </c>
      <c r="D68" s="28" t="inlineStr">
        <is>
          <t>CO9</t>
        </is>
      </c>
      <c r="E68" s="29" t="n">
        <v>6</v>
      </c>
      <c r="O68" s="23" t="n"/>
    </row>
    <row r="69" ht="15.6" customHeight="1">
      <c r="B69" s="22" t="n"/>
      <c r="C69" s="24" t="inlineStr">
        <is>
          <t>B2</t>
        </is>
      </c>
      <c r="D69" s="25" t="inlineStr">
        <is>
          <t>COMP1-2/FCE1-2</t>
        </is>
      </c>
      <c r="E69" s="26" t="n">
        <v>4</v>
      </c>
      <c r="O69" s="23" t="n"/>
    </row>
    <row r="70" ht="15.6" customHeight="1">
      <c r="B70" s="22" t="n"/>
      <c r="C70" s="27" t="inlineStr">
        <is>
          <t>B2+</t>
        </is>
      </c>
      <c r="D70" s="28" t="inlineStr">
        <is>
          <t>COMP3-4/FCE3-4</t>
        </is>
      </c>
      <c r="E70" s="29" t="n">
        <v>3</v>
      </c>
      <c r="O70" s="23" t="n"/>
    </row>
    <row r="71" ht="15.6" customHeight="1">
      <c r="B71" s="22" t="n"/>
      <c r="C71" s="24" t="inlineStr">
        <is>
          <t>C1</t>
        </is>
      </c>
      <c r="D71" s="25" t="inlineStr">
        <is>
          <t>COMP5-6/CAE</t>
        </is>
      </c>
      <c r="E71" s="26" t="n">
        <v>2</v>
      </c>
      <c r="O71" s="23" t="n"/>
    </row>
    <row r="72" ht="15.6" customHeight="1">
      <c r="B72" s="22" t="n"/>
      <c r="C72" s="27" t="inlineStr">
        <is>
          <t>C2</t>
        </is>
      </c>
      <c r="D72" s="28" t="inlineStr">
        <is>
          <t>CPE</t>
        </is>
      </c>
      <c r="E72" s="29" t="n"/>
      <c r="O72" s="23" t="n"/>
    </row>
    <row r="73">
      <c r="B73" s="22" t="n"/>
      <c r="O73" s="23" t="n"/>
    </row>
    <row r="74">
      <c r="B74" s="22" t="n"/>
      <c r="O74" s="23" t="n"/>
    </row>
    <row r="75">
      <c r="B75" s="22" t="n"/>
      <c r="O75" s="23" t="n"/>
    </row>
    <row r="76">
      <c r="B76" s="22" t="n"/>
      <c r="O76" s="23" t="n"/>
    </row>
    <row r="77">
      <c r="B77" s="22" t="n"/>
      <c r="O77" s="23" t="n"/>
    </row>
    <row r="78">
      <c r="B78" s="22" t="n"/>
      <c r="O78" s="23" t="n"/>
    </row>
    <row r="79">
      <c r="B79" s="22" t="n"/>
      <c r="O79" s="23" t="n"/>
    </row>
    <row r="80">
      <c r="B80" s="22" t="n"/>
      <c r="O80" s="23" t="n"/>
    </row>
    <row r="81">
      <c r="B81" s="22" t="n"/>
      <c r="O81" s="23" t="n"/>
    </row>
    <row r="82">
      <c r="B82" s="22" t="n"/>
      <c r="O82" s="23" t="n"/>
    </row>
    <row r="83" ht="15" customHeight="1" thickBot="1">
      <c r="B83" s="33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35" t="n"/>
    </row>
  </sheetData>
  <mergeCells count="6">
    <mergeCell ref="C42:E42"/>
    <mergeCell ref="R13:U15"/>
    <mergeCell ref="C5:E5"/>
    <mergeCell ref="C21:E21"/>
    <mergeCell ref="R3:U12"/>
    <mergeCell ref="C62:E62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D8"/>
  <sheetViews>
    <sheetView workbookViewId="0">
      <selection activeCell="H5" sqref="H5"/>
    </sheetView>
  </sheetViews>
  <sheetFormatPr baseColWidth="8" defaultRowHeight="14.4"/>
  <cols>
    <col width="38.5546875" customWidth="1" min="3" max="3"/>
    <col width="20" customWidth="1" min="4" max="4"/>
  </cols>
  <sheetData>
    <row r="2" ht="15" customHeight="1" thickBot="1"/>
    <row r="3">
      <c r="B3" s="12" t="inlineStr">
        <is>
          <t>ردیف</t>
        </is>
      </c>
      <c r="C3" s="13" t="inlineStr">
        <is>
          <t>موضوع ورکشاپ</t>
        </is>
      </c>
      <c r="D3" s="14" t="inlineStr">
        <is>
          <t>تاریخ</t>
        </is>
      </c>
    </row>
    <row r="4" ht="51" customHeight="1">
      <c r="B4" s="4" t="n">
        <v>1</v>
      </c>
      <c r="C4" s="1" t="n"/>
      <c r="D4" s="5" t="n"/>
    </row>
    <row r="5" ht="51" customHeight="1">
      <c r="B5" s="6" t="n">
        <v>2</v>
      </c>
      <c r="C5" s="1" t="n"/>
      <c r="D5" s="5" t="n"/>
    </row>
    <row r="6" ht="51" customHeight="1">
      <c r="B6" s="6" t="n">
        <v>3</v>
      </c>
      <c r="C6" s="1" t="n"/>
      <c r="D6" s="5" t="n"/>
    </row>
    <row r="7" ht="51" customHeight="1">
      <c r="B7" s="6" t="n">
        <v>4</v>
      </c>
      <c r="C7" s="1" t="n"/>
      <c r="D7" s="5" t="n"/>
    </row>
    <row r="8" ht="51" customHeight="1" thickBot="1">
      <c r="B8" s="7" t="n">
        <v>5</v>
      </c>
      <c r="C8" s="8" t="n"/>
      <c r="D8" s="1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G8"/>
  <sheetViews>
    <sheetView workbookViewId="0">
      <selection activeCell="I5" sqref="I5"/>
    </sheetView>
  </sheetViews>
  <sheetFormatPr baseColWidth="8" defaultRowHeight="14.4"/>
  <cols>
    <col width="24.6640625" customWidth="1" min="3" max="3"/>
    <col width="15.5546875" customWidth="1" min="4" max="4"/>
    <col width="18.5546875" customWidth="1" min="5" max="5"/>
    <col width="23.5546875" customWidth="1" min="6" max="6"/>
    <col width="11.5546875" customWidth="1" min="7" max="7"/>
  </cols>
  <sheetData>
    <row r="2" ht="15" customHeight="1" thickBot="1"/>
    <row r="3">
      <c r="B3" s="12" t="inlineStr">
        <is>
          <t>ردیف</t>
        </is>
      </c>
      <c r="C3" s="13" t="inlineStr">
        <is>
          <t>مقدار بونوس دریافت شده</t>
        </is>
      </c>
      <c r="D3" s="13" t="inlineStr">
        <is>
          <t>دپارتمان</t>
        </is>
      </c>
      <c r="E3" s="13" t="inlineStr">
        <is>
          <t>مدیر گروه</t>
        </is>
      </c>
      <c r="F3" s="13" t="inlineStr">
        <is>
          <t>علت</t>
        </is>
      </c>
      <c r="G3" s="14" t="inlineStr">
        <is>
          <t>تاریخ</t>
        </is>
      </c>
    </row>
    <row r="4" ht="29.25" customHeight="1">
      <c r="B4" s="4" t="n">
        <v>1</v>
      </c>
      <c r="C4" s="1" t="n"/>
      <c r="D4" s="2" t="n"/>
      <c r="E4" s="3" t="n"/>
      <c r="F4" s="94" t="n"/>
      <c r="G4" s="5" t="n"/>
    </row>
    <row r="5" ht="29.25" customHeight="1">
      <c r="B5" s="6" t="n">
        <v>2</v>
      </c>
      <c r="C5" s="1" t="n"/>
      <c r="D5" s="2" t="n"/>
      <c r="E5" s="3" t="n"/>
      <c r="F5" s="94" t="n"/>
      <c r="G5" s="5" t="n"/>
    </row>
    <row r="6" ht="29.25" customHeight="1">
      <c r="B6" s="6" t="n">
        <v>3</v>
      </c>
      <c r="C6" s="1" t="n"/>
      <c r="D6" s="2" t="n"/>
      <c r="E6" s="3" t="n"/>
      <c r="F6" s="94" t="n"/>
      <c r="G6" s="5" t="n"/>
    </row>
    <row r="7" ht="29.25" customHeight="1">
      <c r="B7" s="6" t="n">
        <v>4</v>
      </c>
      <c r="C7" s="1" t="n"/>
      <c r="D7" s="2" t="n"/>
      <c r="E7" s="3" t="n"/>
      <c r="F7" s="94" t="n"/>
      <c r="G7" s="5" t="n"/>
    </row>
    <row r="8" ht="29.25" customHeight="1" thickBot="1">
      <c r="B8" s="7" t="n">
        <v>5</v>
      </c>
      <c r="C8" s="8" t="n"/>
      <c r="D8" s="9" t="n"/>
      <c r="E8" s="10" t="n"/>
      <c r="F8" s="95" t="n"/>
      <c r="G8" s="11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F13"/>
  <sheetViews>
    <sheetView workbookViewId="0">
      <selection activeCell="M6" sqref="M6"/>
    </sheetView>
  </sheetViews>
  <sheetFormatPr baseColWidth="8" defaultRowHeight="14.4"/>
  <cols>
    <col width="63.88671875" customWidth="1" min="3" max="3"/>
    <col width="17.5546875" customWidth="1" min="4" max="4"/>
    <col width="14.88671875" customWidth="1" min="5" max="5"/>
    <col width="18.33203125" customWidth="1" min="6" max="6"/>
  </cols>
  <sheetData>
    <row r="2" ht="15" customHeight="1" thickBot="1"/>
    <row r="3">
      <c r="B3" s="12" t="inlineStr">
        <is>
          <t>ردیف</t>
        </is>
      </c>
      <c r="C3" s="13" t="inlineStr">
        <is>
          <t>متن اعتراض</t>
        </is>
      </c>
      <c r="D3" s="13" t="inlineStr">
        <is>
          <t>زبان آموز</t>
        </is>
      </c>
      <c r="E3" s="13" t="inlineStr">
        <is>
          <t>کلاس</t>
        </is>
      </c>
      <c r="F3" s="14" t="inlineStr">
        <is>
          <t>تاریخ</t>
        </is>
      </c>
    </row>
    <row r="4" ht="45" customHeight="1">
      <c r="B4" s="4" t="n">
        <v>1</v>
      </c>
      <c r="C4" s="1" t="n"/>
      <c r="D4" s="2" t="n"/>
      <c r="E4" s="3" t="n"/>
      <c r="F4" s="5" t="n"/>
    </row>
    <row r="5" ht="45" customHeight="1">
      <c r="B5" s="6" t="n">
        <v>2</v>
      </c>
      <c r="C5" s="1" t="n"/>
      <c r="D5" s="2" t="n"/>
      <c r="E5" s="3" t="n"/>
      <c r="F5" s="5" t="n"/>
    </row>
    <row r="6" ht="45" customHeight="1">
      <c r="B6" s="6" t="n">
        <v>3</v>
      </c>
      <c r="C6" s="1" t="n"/>
      <c r="D6" s="2" t="n"/>
      <c r="E6" s="3" t="n"/>
      <c r="F6" s="5" t="n"/>
    </row>
    <row r="7" ht="45" customHeight="1">
      <c r="B7" s="6" t="n">
        <v>4</v>
      </c>
      <c r="C7" s="1" t="n"/>
      <c r="D7" s="2" t="n"/>
      <c r="E7" s="3" t="n"/>
      <c r="F7" s="5" t="n"/>
    </row>
    <row r="8" ht="45" customHeight="1">
      <c r="B8" s="6" t="n">
        <v>5</v>
      </c>
      <c r="C8" s="1" t="n"/>
      <c r="D8" s="2" t="n"/>
      <c r="E8" s="3" t="n"/>
      <c r="F8" s="5" t="n"/>
    </row>
    <row r="9" ht="45" customHeight="1">
      <c r="B9" s="6" t="n">
        <v>6</v>
      </c>
      <c r="C9" s="1" t="n"/>
      <c r="D9" s="2" t="n"/>
      <c r="E9" s="3" t="n"/>
      <c r="F9" s="5" t="n"/>
    </row>
    <row r="10" ht="45" customHeight="1">
      <c r="B10" s="6" t="n">
        <v>7</v>
      </c>
      <c r="C10" s="1" t="n"/>
      <c r="D10" s="2" t="n"/>
      <c r="E10" s="3" t="n"/>
      <c r="F10" s="5" t="n"/>
    </row>
    <row r="11" ht="45" customHeight="1">
      <c r="B11" s="6" t="n">
        <v>8</v>
      </c>
      <c r="C11" s="1" t="n"/>
      <c r="D11" s="2" t="n"/>
      <c r="E11" s="3" t="n"/>
      <c r="F11" s="5" t="n"/>
    </row>
    <row r="12" ht="45" customHeight="1">
      <c r="B12" s="6" t="n">
        <v>9</v>
      </c>
      <c r="C12" s="1" t="n"/>
      <c r="D12" s="2" t="n"/>
      <c r="E12" s="3" t="n"/>
      <c r="F12" s="5" t="n"/>
    </row>
    <row r="13" ht="45" customHeight="1" thickBot="1">
      <c r="B13" s="7" t="n">
        <v>10</v>
      </c>
      <c r="C13" s="8" t="n"/>
      <c r="D13" s="9" t="n"/>
      <c r="E13" s="10" t="n"/>
      <c r="F13" s="1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E13"/>
  <sheetViews>
    <sheetView workbookViewId="0">
      <selection activeCell="K10" sqref="K10"/>
    </sheetView>
  </sheetViews>
  <sheetFormatPr baseColWidth="8" defaultRowHeight="14.4"/>
  <cols>
    <col width="51.88671875" customWidth="1" min="3" max="3"/>
    <col width="17.5546875" customWidth="1" min="4" max="4"/>
    <col width="16.33203125" customWidth="1" min="5" max="5"/>
  </cols>
  <sheetData>
    <row r="2" ht="15" customHeight="1" thickBot="1"/>
    <row r="3">
      <c r="B3" s="12" t="inlineStr">
        <is>
          <t>ردیف</t>
        </is>
      </c>
      <c r="C3" s="13" t="inlineStr">
        <is>
          <t>متن درخواست</t>
        </is>
      </c>
      <c r="D3" s="13" t="inlineStr">
        <is>
          <t>مسئول پیگیری</t>
        </is>
      </c>
      <c r="E3" s="14" t="inlineStr">
        <is>
          <t>تاریخ</t>
        </is>
      </c>
    </row>
    <row r="4" ht="35.25" customHeight="1">
      <c r="B4" s="4" t="n">
        <v>1</v>
      </c>
      <c r="C4" s="1" t="n"/>
      <c r="D4" s="2" t="n"/>
      <c r="E4" s="5" t="n"/>
    </row>
    <row r="5" ht="35.25" customHeight="1">
      <c r="B5" s="6" t="n">
        <v>2</v>
      </c>
      <c r="C5" s="1" t="n"/>
      <c r="D5" s="2" t="n"/>
      <c r="E5" s="5" t="n"/>
    </row>
    <row r="6" ht="35.25" customHeight="1">
      <c r="B6" s="6" t="n">
        <v>3</v>
      </c>
      <c r="C6" s="1" t="n"/>
      <c r="D6" s="2" t="n"/>
      <c r="E6" s="5" t="n"/>
    </row>
    <row r="7" ht="35.25" customHeight="1">
      <c r="B7" s="6" t="n">
        <v>4</v>
      </c>
      <c r="C7" s="1" t="n"/>
      <c r="D7" s="2" t="n"/>
      <c r="E7" s="5" t="n"/>
    </row>
    <row r="8" ht="35.25" customHeight="1">
      <c r="B8" s="6" t="n">
        <v>5</v>
      </c>
      <c r="C8" s="1" t="n"/>
      <c r="D8" s="2" t="n"/>
      <c r="E8" s="5" t="n"/>
    </row>
    <row r="9" ht="35.25" customHeight="1">
      <c r="B9" s="6" t="n">
        <v>6</v>
      </c>
      <c r="C9" s="1" t="n"/>
      <c r="D9" s="2" t="n"/>
      <c r="E9" s="5" t="n"/>
    </row>
    <row r="10" ht="35.25" customHeight="1">
      <c r="B10" s="6" t="n">
        <v>7</v>
      </c>
      <c r="C10" s="1" t="n"/>
      <c r="D10" s="2" t="n"/>
      <c r="E10" s="5" t="n"/>
    </row>
    <row r="11" ht="35.25" customHeight="1">
      <c r="B11" s="6" t="n">
        <v>8</v>
      </c>
      <c r="C11" s="1" t="n"/>
      <c r="D11" s="2" t="n"/>
      <c r="E11" s="5" t="n"/>
    </row>
    <row r="12" ht="35.25" customHeight="1">
      <c r="B12" s="6" t="n">
        <v>9</v>
      </c>
      <c r="C12" s="1" t="n"/>
      <c r="D12" s="2" t="n"/>
      <c r="E12" s="5" t="n"/>
    </row>
    <row r="13" ht="35.25" customHeight="1" thickBot="1">
      <c r="B13" s="7" t="n">
        <v>10</v>
      </c>
      <c r="C13" s="8" t="n"/>
      <c r="D13" s="9" t="n"/>
      <c r="E13" s="11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3:T10"/>
  <sheetViews>
    <sheetView tabSelected="1" workbookViewId="0">
      <selection activeCell="Q3" sqref="Q3:T7"/>
    </sheetView>
  </sheetViews>
  <sheetFormatPr baseColWidth="8" defaultRowHeight="14.4"/>
  <sheetData>
    <row r="2" ht="15" customHeight="1" thickBot="1"/>
    <row r="3">
      <c r="B3" s="103" t="inlineStr">
        <is>
          <t>DISC Type</t>
        </is>
      </c>
      <c r="C3" s="20" t="n"/>
      <c r="D3" s="20" t="n"/>
      <c r="E3" s="21" t="n"/>
      <c r="G3" s="103" t="inlineStr">
        <is>
          <t>Active Years</t>
        </is>
      </c>
      <c r="H3" s="20" t="n"/>
      <c r="I3" s="20" t="n"/>
      <c r="J3" s="21" t="n"/>
      <c r="L3" s="103" t="inlineStr">
        <is>
          <t>Entrance</t>
        </is>
      </c>
      <c r="M3" s="20" t="n"/>
      <c r="N3" s="20" t="n"/>
      <c r="O3" s="21" t="n"/>
      <c r="Q3" s="103" t="inlineStr">
        <is>
          <t>Pause</t>
        </is>
      </c>
      <c r="R3" s="20" t="n"/>
      <c r="S3" s="20" t="n"/>
      <c r="T3" s="21" t="n"/>
    </row>
    <row r="4">
      <c r="B4" s="98" t="n"/>
      <c r="E4" s="99" t="n"/>
      <c r="G4" s="98" t="n"/>
      <c r="J4" s="99" t="n"/>
      <c r="L4" s="98" t="n"/>
      <c r="O4" s="99" t="n"/>
      <c r="Q4" s="98" t="n"/>
      <c r="T4" s="99" t="n"/>
    </row>
    <row r="5">
      <c r="B5" s="98" t="n"/>
      <c r="E5" s="99" t="n"/>
      <c r="G5" s="98" t="n"/>
      <c r="J5" s="99" t="n"/>
      <c r="L5" s="98" t="n"/>
      <c r="O5" s="99" t="n"/>
      <c r="Q5" s="98" t="n"/>
      <c r="T5" s="99" t="n"/>
    </row>
    <row r="6">
      <c r="B6" s="98" t="n"/>
      <c r="E6" s="99" t="n"/>
      <c r="G6" s="98" t="n"/>
      <c r="J6" s="99" t="n"/>
      <c r="L6" s="98" t="n"/>
      <c r="O6" s="99" t="n"/>
      <c r="Q6" s="98" t="n"/>
      <c r="T6" s="99" t="n"/>
    </row>
    <row r="7" ht="15" customHeight="1" thickBot="1">
      <c r="B7" s="33" t="n"/>
      <c r="C7" s="34" t="n"/>
      <c r="D7" s="34" t="n"/>
      <c r="E7" s="35" t="n"/>
      <c r="G7" s="33" t="n"/>
      <c r="H7" s="34" t="n"/>
      <c r="I7" s="34" t="n"/>
      <c r="J7" s="35" t="n"/>
      <c r="L7" s="33" t="n"/>
      <c r="M7" s="34" t="n"/>
      <c r="N7" s="34" t="n"/>
      <c r="O7" s="35" t="n"/>
      <c r="Q7" s="33" t="n"/>
      <c r="R7" s="34" t="n"/>
      <c r="S7" s="34" t="n"/>
      <c r="T7" s="35" t="n"/>
    </row>
    <row r="8">
      <c r="B8" s="102" t="n"/>
      <c r="C8" s="20" t="n"/>
      <c r="D8" s="20" t="n"/>
      <c r="E8" s="21" t="n"/>
      <c r="G8" s="102" t="n"/>
      <c r="H8" s="20" t="n"/>
      <c r="I8" s="20" t="n"/>
      <c r="J8" s="21" t="n"/>
      <c r="L8" s="102" t="n"/>
      <c r="M8" s="20" t="n"/>
      <c r="N8" s="20" t="n"/>
      <c r="O8" s="21" t="n"/>
      <c r="Q8" s="102" t="n"/>
      <c r="R8" s="20" t="n"/>
      <c r="S8" s="20" t="n"/>
      <c r="T8" s="21" t="n"/>
    </row>
    <row r="9">
      <c r="B9" s="98" t="n"/>
      <c r="E9" s="99" t="n"/>
      <c r="G9" s="98" t="n"/>
      <c r="J9" s="99" t="n"/>
      <c r="L9" s="98" t="n"/>
      <c r="O9" s="99" t="n"/>
      <c r="Q9" s="98" t="n"/>
      <c r="T9" s="99" t="n"/>
    </row>
    <row r="10" ht="15" customHeight="1" thickBot="1">
      <c r="B10" s="33" t="n"/>
      <c r="C10" s="34" t="n"/>
      <c r="D10" s="34" t="n"/>
      <c r="E10" s="35" t="n"/>
      <c r="G10" s="33" t="n"/>
      <c r="H10" s="34" t="n"/>
      <c r="I10" s="34" t="n"/>
      <c r="J10" s="35" t="n"/>
      <c r="L10" s="33" t="n"/>
      <c r="M10" s="34" t="n"/>
      <c r="N10" s="34" t="n"/>
      <c r="O10" s="35" t="n"/>
      <c r="Q10" s="33" t="n"/>
      <c r="R10" s="34" t="n"/>
      <c r="S10" s="34" t="n"/>
      <c r="T10" s="35" t="n"/>
    </row>
  </sheetData>
  <mergeCells count="8">
    <mergeCell ref="L3:O7"/>
    <mergeCell ref="Q8:T10"/>
    <mergeCell ref="L8:O10"/>
    <mergeCell ref="Q3:T7"/>
    <mergeCell ref="B3:E7"/>
    <mergeCell ref="B8:E10"/>
    <mergeCell ref="G3:J7"/>
    <mergeCell ref="G8:J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3:O10"/>
  <sheetViews>
    <sheetView workbookViewId="0">
      <selection activeCell="G24" sqref="G24"/>
    </sheetView>
  </sheetViews>
  <sheetFormatPr baseColWidth="8" defaultRowHeight="14.4"/>
  <sheetData>
    <row r="2" ht="15" customHeight="1" thickBot="1"/>
    <row r="3">
      <c r="B3" s="103" t="inlineStr">
        <is>
          <t>Degree</t>
        </is>
      </c>
      <c r="C3" s="20" t="n"/>
      <c r="D3" s="20" t="n"/>
      <c r="E3" s="21" t="n"/>
      <c r="G3" s="103" t="inlineStr">
        <is>
          <t>Language Level</t>
        </is>
      </c>
      <c r="H3" s="20" t="n"/>
      <c r="I3" s="20" t="n"/>
      <c r="J3" s="21" t="n"/>
      <c r="L3" s="103" t="inlineStr">
        <is>
          <t>Max Level</t>
        </is>
      </c>
      <c r="M3" s="20" t="n"/>
      <c r="N3" s="20" t="n"/>
      <c r="O3" s="21" t="n"/>
    </row>
    <row r="4">
      <c r="B4" s="98" t="n"/>
      <c r="E4" s="99" t="n"/>
      <c r="G4" s="98" t="n"/>
      <c r="J4" s="99" t="n"/>
      <c r="L4" s="98" t="n"/>
      <c r="O4" s="99" t="n"/>
    </row>
    <row r="5">
      <c r="B5" s="98" t="n"/>
      <c r="E5" s="99" t="n"/>
      <c r="G5" s="98" t="n"/>
      <c r="J5" s="99" t="n"/>
      <c r="L5" s="98" t="n"/>
      <c r="O5" s="99" t="n"/>
    </row>
    <row r="6">
      <c r="B6" s="98" t="n"/>
      <c r="E6" s="99" t="n"/>
      <c r="G6" s="98" t="n"/>
      <c r="J6" s="99" t="n"/>
      <c r="L6" s="98" t="n"/>
      <c r="O6" s="99" t="n"/>
    </row>
    <row r="7" ht="15" customHeight="1" thickBot="1">
      <c r="B7" s="33" t="n"/>
      <c r="C7" s="34" t="n"/>
      <c r="D7" s="34" t="n"/>
      <c r="E7" s="35" t="n"/>
      <c r="G7" s="33" t="n"/>
      <c r="H7" s="34" t="n"/>
      <c r="I7" s="34" t="n"/>
      <c r="J7" s="35" t="n"/>
      <c r="L7" s="33" t="n"/>
      <c r="M7" s="34" t="n"/>
      <c r="N7" s="34" t="n"/>
      <c r="O7" s="35" t="n"/>
    </row>
    <row r="8">
      <c r="B8" s="102" t="n"/>
      <c r="C8" s="20" t="n"/>
      <c r="D8" s="20" t="n"/>
      <c r="E8" s="21" t="n"/>
      <c r="G8" s="102" t="n"/>
      <c r="H8" s="20" t="n"/>
      <c r="I8" s="20" t="n"/>
      <c r="J8" s="21" t="n"/>
      <c r="L8" s="102" t="n"/>
      <c r="M8" s="20" t="n"/>
      <c r="N8" s="20" t="n"/>
      <c r="O8" s="21" t="n"/>
    </row>
    <row r="9">
      <c r="B9" s="98" t="n"/>
      <c r="E9" s="99" t="n"/>
      <c r="G9" s="98" t="n"/>
      <c r="J9" s="99" t="n"/>
      <c r="L9" s="98" t="n"/>
      <c r="O9" s="99" t="n"/>
    </row>
    <row r="10" ht="15" customHeight="1" thickBot="1">
      <c r="B10" s="33" t="n"/>
      <c r="C10" s="34" t="n"/>
      <c r="D10" s="34" t="n"/>
      <c r="E10" s="35" t="n"/>
      <c r="G10" s="33" t="n"/>
      <c r="H10" s="34" t="n"/>
      <c r="I10" s="34" t="n"/>
      <c r="J10" s="35" t="n"/>
      <c r="L10" s="33" t="n"/>
      <c r="M10" s="34" t="n"/>
      <c r="N10" s="34" t="n"/>
      <c r="O10" s="35" t="n"/>
    </row>
  </sheetData>
  <mergeCells count="6">
    <mergeCell ref="L8:O10"/>
    <mergeCell ref="B3:E7"/>
    <mergeCell ref="G3:J7"/>
    <mergeCell ref="B8:E10"/>
    <mergeCell ref="G8:J10"/>
    <mergeCell ref="L3:O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3:H15"/>
  <sheetViews>
    <sheetView workbookViewId="0">
      <selection activeCell="I7" sqref="I7"/>
    </sheetView>
  </sheetViews>
  <sheetFormatPr baseColWidth="8" defaultRowHeight="14.4"/>
  <cols>
    <col width="5.44140625" customWidth="1" min="2" max="2"/>
    <col width="47.44140625" customWidth="1" min="3" max="3"/>
    <col width="35.33203125" customWidth="1" min="4" max="4"/>
    <col width="42.5546875" customWidth="1" min="5" max="5"/>
    <col width="39.6640625" customWidth="1" min="6" max="6"/>
    <col width="14.6640625" customWidth="1" min="7" max="7"/>
    <col width="49.33203125" customWidth="1" min="8" max="8"/>
  </cols>
  <sheetData>
    <row r="2" ht="15" customHeight="1" thickBot="1"/>
    <row r="3" ht="37.5" customHeight="1" thickBot="1">
      <c r="B3" s="104" t="inlineStr">
        <is>
          <t>Observer</t>
        </is>
      </c>
      <c r="C3" s="105" t="n"/>
      <c r="D3" s="105" t="n"/>
      <c r="E3" s="105" t="n"/>
      <c r="F3" s="105" t="n"/>
      <c r="G3" s="105" t="n"/>
      <c r="H3" s="106" t="n"/>
    </row>
    <row r="4" ht="30" customHeight="1" thickBot="1">
      <c r="B4" s="104" t="inlineStr">
        <is>
          <t>Observe Date/Class</t>
        </is>
      </c>
      <c r="C4" s="106" t="n"/>
      <c r="D4" s="36" t="n"/>
      <c r="E4" s="37" t="n"/>
      <c r="F4" s="37" t="n"/>
      <c r="G4" s="37" t="n"/>
      <c r="H4" s="48" t="inlineStr">
        <is>
          <t>Class</t>
        </is>
      </c>
    </row>
    <row r="5" ht="53.25" customHeight="1">
      <c r="B5" s="102" t="n">
        <v>1</v>
      </c>
      <c r="C5" s="107" t="inlineStr">
        <is>
          <t>Lesson planning and preparation</t>
        </is>
      </c>
      <c r="D5" s="38" t="inlineStr">
        <is>
          <t>The teacher is following a clear and well-structured lesson plan.</t>
        </is>
      </c>
      <c r="E5" s="39" t="inlineStr">
        <is>
          <t>The teacher tailors the lesson to meet the students’ needs and proficiency level.</t>
        </is>
      </c>
      <c r="F5" s="39" t="inlineStr">
        <is>
          <t>Appropriate and varied materials are prepared and used effectively</t>
        </is>
      </c>
      <c r="G5" s="39" t="inlineStr">
        <is>
          <t>Average Observe</t>
        </is>
      </c>
      <c r="H5" s="40" t="inlineStr">
        <is>
          <t>Comments</t>
        </is>
      </c>
    </row>
    <row r="6" ht="30.75" customHeight="1" thickBot="1">
      <c r="B6" s="108" t="n"/>
      <c r="C6" s="108" t="n"/>
      <c r="D6" s="41" t="n"/>
      <c r="E6" s="42" t="n"/>
      <c r="F6" s="42" t="n"/>
      <c r="G6" s="43">
        <f>AVERAGE(D6,E6,F6)</f>
        <v/>
      </c>
      <c r="H6" s="42" t="n"/>
    </row>
    <row r="7" ht="53.25" customHeight="1">
      <c r="B7" s="102" t="n">
        <v>2</v>
      </c>
      <c r="C7" s="107" t="inlineStr">
        <is>
          <t>Classroom management</t>
        </is>
      </c>
      <c r="D7" s="38" t="inlineStr">
        <is>
          <t>The classroom environment is conductive to learning.</t>
        </is>
      </c>
      <c r="E7" s="39" t="inlineStr">
        <is>
          <t>Students are actively engaged and participating throughout the lesson.</t>
        </is>
      </c>
      <c r="F7" s="39" t="inlineStr">
        <is>
          <t>The teacher manages class time, transitions and activities effectively.</t>
        </is>
      </c>
      <c r="G7" s="39" t="inlineStr">
        <is>
          <t>Average Observe</t>
        </is>
      </c>
      <c r="H7" s="40" t="inlineStr">
        <is>
          <t>Comments:</t>
        </is>
      </c>
    </row>
    <row r="8" ht="30.75" customHeight="1" thickBot="1">
      <c r="B8" s="108" t="n"/>
      <c r="C8" s="108" t="n"/>
      <c r="D8" s="41" t="n"/>
      <c r="E8" s="42" t="n"/>
      <c r="F8" s="42" t="n"/>
      <c r="G8" s="43">
        <f>AVERAGE(D8,E8,F8)</f>
        <v/>
      </c>
      <c r="H8" s="42" t="n"/>
    </row>
    <row r="9" ht="53.25" customHeight="1">
      <c r="B9" s="102" t="n">
        <v>3</v>
      </c>
      <c r="C9" s="107" t="inlineStr">
        <is>
          <t>Instructional delivery</t>
        </is>
      </c>
      <c r="D9" s="44" t="inlineStr">
        <is>
          <t>The teacher provides clear and differentiated instructions and explanations.</t>
        </is>
      </c>
      <c r="E9" s="39" t="inlineStr">
        <is>
          <t>The teacher uses the appropriate language level for students.</t>
        </is>
      </c>
      <c r="F9" s="39" t="inlineStr">
        <is>
          <t>The teacher encourages interaction and communication among students.</t>
        </is>
      </c>
      <c r="G9" s="39" t="inlineStr">
        <is>
          <t>Average Observe</t>
        </is>
      </c>
      <c r="H9" s="40" t="inlineStr">
        <is>
          <t>Comments</t>
        </is>
      </c>
    </row>
    <row r="10" ht="30.75" customHeight="1" thickBot="1">
      <c r="B10" s="108" t="n"/>
      <c r="C10" s="108" t="n"/>
      <c r="D10" s="41" t="n"/>
      <c r="E10" s="42" t="n"/>
      <c r="F10" s="42" t="n"/>
      <c r="G10" s="43">
        <f>AVERAGE(D10,E10,F10)</f>
        <v/>
      </c>
      <c r="H10" s="42" t="n"/>
    </row>
    <row r="11" ht="53.25" customHeight="1">
      <c r="B11" s="102" t="n">
        <v>4</v>
      </c>
      <c r="C11" s="107" t="inlineStr">
        <is>
          <t>Assessment and feedback</t>
        </is>
      </c>
      <c r="D11" s="38" t="inlineStr">
        <is>
          <t>The teacher monitors student progress during the lesson.</t>
        </is>
      </c>
      <c r="E11" s="39" t="inlineStr">
        <is>
          <t>The teacher provides timely and constructive feedback.</t>
        </is>
      </c>
      <c r="F11" s="39" t="inlineStr">
        <is>
          <t>The teacher adjusts teaching based on students’ understanding and feedback</t>
        </is>
      </c>
      <c r="G11" s="39" t="inlineStr">
        <is>
          <t>Average Observe</t>
        </is>
      </c>
      <c r="H11" s="40" t="inlineStr">
        <is>
          <t>Comments</t>
        </is>
      </c>
    </row>
    <row r="12" ht="30.75" customHeight="1" thickBot="1">
      <c r="B12" s="108" t="n"/>
      <c r="C12" s="108" t="n"/>
      <c r="D12" s="41" t="n"/>
      <c r="E12" s="42" t="n"/>
      <c r="F12" s="42" t="n"/>
      <c r="G12" s="43">
        <f>AVERAGE(D12,E12,F12)</f>
        <v/>
      </c>
      <c r="H12" s="42" t="n"/>
    </row>
    <row r="13" ht="53.25" customHeight="1">
      <c r="B13" s="102" t="n">
        <v>5</v>
      </c>
      <c r="C13" s="107" t="inlineStr">
        <is>
          <t>Language use</t>
        </is>
      </c>
      <c r="D13" s="44" t="inlineStr">
        <is>
          <t>The teacher integrates grammar, vocabulary and pronunciation effectively.</t>
        </is>
      </c>
      <c r="E13" s="39" t="inlineStr">
        <is>
          <t>The teacher provides opportunities for students to practice and use English.</t>
        </is>
      </c>
      <c r="F13" s="39" t="inlineStr">
        <is>
          <t>The teacher is a proficient model of language.</t>
        </is>
      </c>
      <c r="G13" s="39" t="inlineStr">
        <is>
          <t>Average Observe</t>
        </is>
      </c>
      <c r="H13" s="40" t="inlineStr">
        <is>
          <t>Comments</t>
        </is>
      </c>
    </row>
    <row r="14" ht="30.75" customHeight="1" thickBot="1">
      <c r="B14" s="108" t="n"/>
      <c r="C14" s="108" t="n"/>
      <c r="D14" s="41" t="n"/>
      <c r="E14" s="42" t="n"/>
      <c r="F14" s="42" t="n"/>
      <c r="G14" s="43">
        <f>AVERAGE(D14,E14,F14)</f>
        <v/>
      </c>
      <c r="H14" s="42" t="n"/>
    </row>
    <row r="15" ht="36.75" customHeight="1" thickBot="1">
      <c r="B15" s="109" t="inlineStr">
        <is>
          <t>Sum</t>
        </is>
      </c>
      <c r="C15" s="106" t="n"/>
      <c r="D15" s="45">
        <f>SUM(D5:D14)</f>
        <v/>
      </c>
      <c r="E15" s="93">
        <f>SUM(E5:E14)</f>
        <v/>
      </c>
      <c r="F15" s="93">
        <f>SUM(F5:F14)</f>
        <v/>
      </c>
      <c r="G15" s="47">
        <f>SUM(G5:G14)/5</f>
        <v/>
      </c>
      <c r="H15" s="93">
        <f>SUM(H5:H13)</f>
        <v/>
      </c>
    </row>
  </sheetData>
  <mergeCells count="13">
    <mergeCell ref="C9:C10"/>
    <mergeCell ref="B9:B10"/>
    <mergeCell ref="B15:C15"/>
    <mergeCell ref="B4:C4"/>
    <mergeCell ref="B13:B14"/>
    <mergeCell ref="C7:C8"/>
    <mergeCell ref="B7:B8"/>
    <mergeCell ref="B11:B12"/>
    <mergeCell ref="C11:C12"/>
    <mergeCell ref="B3:H3"/>
    <mergeCell ref="C13:C14"/>
    <mergeCell ref="B5:B6"/>
    <mergeCell ref="C5:C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3:H15"/>
  <sheetViews>
    <sheetView topLeftCell="A4" workbookViewId="0">
      <selection activeCell="I7" sqref="I7"/>
    </sheetView>
  </sheetViews>
  <sheetFormatPr baseColWidth="8" defaultRowHeight="14.4"/>
  <cols>
    <col width="5.44140625" customWidth="1" min="2" max="2"/>
    <col width="47.44140625" customWidth="1" min="3" max="3"/>
    <col width="35.33203125" customWidth="1" min="4" max="4"/>
    <col width="42.5546875" customWidth="1" min="5" max="5"/>
    <col width="39.6640625" customWidth="1" min="6" max="6"/>
    <col width="14.6640625" customWidth="1" min="7" max="7"/>
    <col width="49.33203125" customWidth="1" min="8" max="8"/>
  </cols>
  <sheetData>
    <row r="2" ht="15" customHeight="1" thickBot="1"/>
    <row r="3" ht="37.5" customHeight="1" thickBot="1">
      <c r="B3" s="104" t="inlineStr">
        <is>
          <t>Observer</t>
        </is>
      </c>
      <c r="C3" s="105" t="n"/>
      <c r="D3" s="105" t="n"/>
      <c r="E3" s="105" t="n"/>
      <c r="F3" s="105" t="n"/>
      <c r="G3" s="105" t="n"/>
      <c r="H3" s="106" t="n"/>
    </row>
    <row r="4" ht="30" customHeight="1" thickBot="1">
      <c r="B4" s="104" t="inlineStr">
        <is>
          <t>Observe Date/Class</t>
        </is>
      </c>
      <c r="C4" s="106" t="n"/>
      <c r="D4" s="36" t="n"/>
      <c r="E4" s="37" t="n"/>
      <c r="F4" s="37" t="n"/>
      <c r="G4" s="37" t="n"/>
      <c r="H4" s="48" t="inlineStr">
        <is>
          <t>Class</t>
        </is>
      </c>
    </row>
    <row r="5" ht="53.25" customHeight="1">
      <c r="B5" s="102" t="n">
        <v>1</v>
      </c>
      <c r="C5" s="107" t="inlineStr">
        <is>
          <t>Lesson planning and preparation</t>
        </is>
      </c>
      <c r="D5" s="38" t="inlineStr">
        <is>
          <t>The teacher is following a clear and well-structured lesson plan.</t>
        </is>
      </c>
      <c r="E5" s="39" t="inlineStr">
        <is>
          <t>The teacher tailors the lesson to meet the students’ needs and proficiency level.</t>
        </is>
      </c>
      <c r="F5" s="39" t="inlineStr">
        <is>
          <t>Appropriate and varied materials are prepared and used effectively</t>
        </is>
      </c>
      <c r="G5" s="39" t="inlineStr">
        <is>
          <t>Average Observe</t>
        </is>
      </c>
      <c r="H5" s="40" t="inlineStr">
        <is>
          <t>Comments</t>
        </is>
      </c>
    </row>
    <row r="6" ht="30.75" customHeight="1" thickBot="1">
      <c r="B6" s="108" t="n"/>
      <c r="C6" s="108" t="n"/>
      <c r="D6" s="41" t="n"/>
      <c r="E6" s="42" t="n"/>
      <c r="F6" s="42" t="n"/>
      <c r="G6" s="43">
        <f>AVERAGE(D6,E6,F6)</f>
        <v/>
      </c>
      <c r="H6" s="42" t="n"/>
    </row>
    <row r="7" ht="53.25" customHeight="1">
      <c r="B7" s="102" t="n">
        <v>2</v>
      </c>
      <c r="C7" s="107" t="inlineStr">
        <is>
          <t>Classroom management</t>
        </is>
      </c>
      <c r="D7" s="38" t="inlineStr">
        <is>
          <t>The classroom environment is conductive to learning.</t>
        </is>
      </c>
      <c r="E7" s="39" t="inlineStr">
        <is>
          <t>Students are actively engaged and participating throughout the lesson.</t>
        </is>
      </c>
      <c r="F7" s="39" t="inlineStr">
        <is>
          <t>The teacher manages class time, transitions and activities effectively.</t>
        </is>
      </c>
      <c r="G7" s="39" t="inlineStr">
        <is>
          <t>Average Observe</t>
        </is>
      </c>
      <c r="H7" s="40" t="inlineStr">
        <is>
          <t>Comments:</t>
        </is>
      </c>
    </row>
    <row r="8" ht="30.75" customHeight="1" thickBot="1">
      <c r="B8" s="108" t="n"/>
      <c r="C8" s="108" t="n"/>
      <c r="D8" s="41" t="n"/>
      <c r="E8" s="42" t="n"/>
      <c r="F8" s="42" t="n"/>
      <c r="G8" s="43">
        <f>AVERAGE(D8,E8,F8)</f>
        <v/>
      </c>
      <c r="H8" s="42" t="n"/>
    </row>
    <row r="9" ht="53.25" customHeight="1">
      <c r="B9" s="102" t="n">
        <v>3</v>
      </c>
      <c r="C9" s="107" t="inlineStr">
        <is>
          <t>Instructional delivery</t>
        </is>
      </c>
      <c r="D9" s="44" t="inlineStr">
        <is>
          <t>The teacher provides clear and differentiated instructions and explanations.</t>
        </is>
      </c>
      <c r="E9" s="39" t="inlineStr">
        <is>
          <t>The teacher uses the appropriate language level for students.</t>
        </is>
      </c>
      <c r="F9" s="39" t="inlineStr">
        <is>
          <t>The teacher encourages interaction and communication among students.</t>
        </is>
      </c>
      <c r="G9" s="39" t="inlineStr">
        <is>
          <t>Average Observe</t>
        </is>
      </c>
      <c r="H9" s="40" t="inlineStr">
        <is>
          <t>Comments</t>
        </is>
      </c>
    </row>
    <row r="10" ht="30.75" customHeight="1" thickBot="1">
      <c r="B10" s="108" t="n"/>
      <c r="C10" s="108" t="n"/>
      <c r="D10" s="41" t="n"/>
      <c r="E10" s="42" t="n"/>
      <c r="F10" s="42" t="n"/>
      <c r="G10" s="43">
        <f>AVERAGE(D10,E10,F10)</f>
        <v/>
      </c>
      <c r="H10" s="42" t="n"/>
    </row>
    <row r="11" ht="53.25" customHeight="1">
      <c r="B11" s="102" t="n">
        <v>4</v>
      </c>
      <c r="C11" s="107" t="inlineStr">
        <is>
          <t>Assessment and feedback</t>
        </is>
      </c>
      <c r="D11" s="38" t="inlineStr">
        <is>
          <t>The teacher monitors student progress during the lesson.</t>
        </is>
      </c>
      <c r="E11" s="39" t="inlineStr">
        <is>
          <t>The teacher provides timely and constructive feedback.</t>
        </is>
      </c>
      <c r="F11" s="39" t="inlineStr">
        <is>
          <t>The teacher adjusts teaching based on students’ understanding and feedback</t>
        </is>
      </c>
      <c r="G11" s="39" t="inlineStr">
        <is>
          <t>Average Observe</t>
        </is>
      </c>
      <c r="H11" s="40" t="inlineStr">
        <is>
          <t>Comments</t>
        </is>
      </c>
    </row>
    <row r="12" ht="30.75" customHeight="1" thickBot="1">
      <c r="B12" s="108" t="n"/>
      <c r="C12" s="108" t="n"/>
      <c r="D12" s="41" t="n"/>
      <c r="E12" s="42" t="n"/>
      <c r="F12" s="42" t="n"/>
      <c r="G12" s="43">
        <f>AVERAGE(D12,E12,F12)</f>
        <v/>
      </c>
      <c r="H12" s="42" t="n"/>
    </row>
    <row r="13" ht="53.25" customHeight="1">
      <c r="B13" s="102" t="n">
        <v>5</v>
      </c>
      <c r="C13" s="107" t="inlineStr">
        <is>
          <t>Language use</t>
        </is>
      </c>
      <c r="D13" s="44" t="inlineStr">
        <is>
          <t>The teacher integrates grammar, vocabulary and pronunciation effectively.</t>
        </is>
      </c>
      <c r="E13" s="39" t="inlineStr">
        <is>
          <t>The teacher provides opportunities for students to practice and use English.</t>
        </is>
      </c>
      <c r="F13" s="39" t="inlineStr">
        <is>
          <t>The teacher is a proficient model of language.</t>
        </is>
      </c>
      <c r="G13" s="39" t="inlineStr">
        <is>
          <t>Average Observe</t>
        </is>
      </c>
      <c r="H13" s="40" t="inlineStr">
        <is>
          <t>Comments</t>
        </is>
      </c>
    </row>
    <row r="14" ht="30.75" customHeight="1" thickBot="1">
      <c r="B14" s="108" t="n"/>
      <c r="C14" s="108" t="n"/>
      <c r="D14" s="41" t="n"/>
      <c r="E14" s="42" t="n"/>
      <c r="F14" s="42" t="n"/>
      <c r="G14" s="43">
        <f>AVERAGE(D14,E14,F14)</f>
        <v/>
      </c>
      <c r="H14" s="42" t="n"/>
    </row>
    <row r="15" ht="36.75" customHeight="1" thickBot="1">
      <c r="B15" s="109" t="inlineStr">
        <is>
          <t>Sum</t>
        </is>
      </c>
      <c r="C15" s="106" t="n"/>
      <c r="D15" s="45">
        <f>SUM(D5:D14)</f>
        <v/>
      </c>
      <c r="E15" s="93">
        <f>SUM(E5:E14)</f>
        <v/>
      </c>
      <c r="F15" s="93">
        <f>SUM(F5:F14)</f>
        <v/>
      </c>
      <c r="G15" s="47">
        <f>SUM(G5:G14)/5</f>
        <v/>
      </c>
      <c r="H15" s="93">
        <f>SUM(H5:H13)</f>
        <v/>
      </c>
    </row>
  </sheetData>
  <mergeCells count="13">
    <mergeCell ref="C9:C10"/>
    <mergeCell ref="B9:B10"/>
    <mergeCell ref="B15:C15"/>
    <mergeCell ref="B4:C4"/>
    <mergeCell ref="B13:B14"/>
    <mergeCell ref="C7:C8"/>
    <mergeCell ref="B7:B8"/>
    <mergeCell ref="B11:B12"/>
    <mergeCell ref="C11:C12"/>
    <mergeCell ref="B3:H3"/>
    <mergeCell ref="C13:C14"/>
    <mergeCell ref="B5:B6"/>
    <mergeCell ref="C5:C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3:H15"/>
  <sheetViews>
    <sheetView topLeftCell="A4" workbookViewId="0">
      <selection activeCell="I7" sqref="I7"/>
    </sheetView>
  </sheetViews>
  <sheetFormatPr baseColWidth="8" defaultRowHeight="14.4"/>
  <cols>
    <col width="5.44140625" customWidth="1" min="2" max="2"/>
    <col width="47.44140625" customWidth="1" min="3" max="3"/>
    <col width="35.33203125" customWidth="1" min="4" max="4"/>
    <col width="42.5546875" customWidth="1" min="5" max="5"/>
    <col width="39.6640625" customWidth="1" min="6" max="6"/>
    <col width="14.6640625" customWidth="1" min="7" max="7"/>
    <col width="49.33203125" customWidth="1" min="8" max="8"/>
  </cols>
  <sheetData>
    <row r="2" ht="15" customHeight="1" thickBot="1"/>
    <row r="3" ht="37.5" customHeight="1" thickBot="1">
      <c r="B3" s="104" t="inlineStr">
        <is>
          <t>Observer</t>
        </is>
      </c>
      <c r="C3" s="105" t="n"/>
      <c r="D3" s="105" t="n"/>
      <c r="E3" s="105" t="n"/>
      <c r="F3" s="105" t="n"/>
      <c r="G3" s="105" t="n"/>
      <c r="H3" s="106" t="n"/>
    </row>
    <row r="4" ht="30" customHeight="1" thickBot="1">
      <c r="B4" s="104" t="inlineStr">
        <is>
          <t>Observe Date/Class</t>
        </is>
      </c>
      <c r="C4" s="106" t="n"/>
      <c r="D4" s="36" t="n"/>
      <c r="E4" s="37" t="n"/>
      <c r="F4" s="37" t="n"/>
      <c r="G4" s="37" t="n"/>
      <c r="H4" s="48" t="inlineStr">
        <is>
          <t>Class</t>
        </is>
      </c>
    </row>
    <row r="5" ht="53.25" customHeight="1">
      <c r="B5" s="102" t="n">
        <v>1</v>
      </c>
      <c r="C5" s="107" t="inlineStr">
        <is>
          <t>Lesson planning and preparation</t>
        </is>
      </c>
      <c r="D5" s="38" t="inlineStr">
        <is>
          <t>The teacher is following a clear and well-structured lesson plan.</t>
        </is>
      </c>
      <c r="E5" s="39" t="inlineStr">
        <is>
          <t>The teacher tailors the lesson to meet the students’ needs and proficiency level.</t>
        </is>
      </c>
      <c r="F5" s="39" t="inlineStr">
        <is>
          <t>Appropriate and varied materials are prepared and used effectively</t>
        </is>
      </c>
      <c r="G5" s="39" t="inlineStr">
        <is>
          <t>Average Observe</t>
        </is>
      </c>
      <c r="H5" s="40" t="inlineStr">
        <is>
          <t>Comments</t>
        </is>
      </c>
    </row>
    <row r="6" ht="30.75" customHeight="1" thickBot="1">
      <c r="B6" s="108" t="n"/>
      <c r="C6" s="108" t="n"/>
      <c r="D6" s="41" t="n"/>
      <c r="E6" s="42" t="n"/>
      <c r="F6" s="42" t="n"/>
      <c r="G6" s="43">
        <f>AVERAGE(D6,E6,F6)</f>
        <v/>
      </c>
      <c r="H6" s="42" t="n"/>
    </row>
    <row r="7" ht="53.25" customHeight="1">
      <c r="B7" s="102" t="n">
        <v>2</v>
      </c>
      <c r="C7" s="107" t="inlineStr">
        <is>
          <t>Classroom management</t>
        </is>
      </c>
      <c r="D7" s="38" t="inlineStr">
        <is>
          <t>The classroom environment is conductive to learning.</t>
        </is>
      </c>
      <c r="E7" s="39" t="inlineStr">
        <is>
          <t>Students are actively engaged and participating throughout the lesson.</t>
        </is>
      </c>
      <c r="F7" s="39" t="inlineStr">
        <is>
          <t>The teacher manages class time, transitions and activities effectively.</t>
        </is>
      </c>
      <c r="G7" s="39" t="inlineStr">
        <is>
          <t>Average Observe</t>
        </is>
      </c>
      <c r="H7" s="40" t="inlineStr">
        <is>
          <t>Comments:</t>
        </is>
      </c>
    </row>
    <row r="8" ht="30.75" customHeight="1" thickBot="1">
      <c r="B8" s="108" t="n"/>
      <c r="C8" s="108" t="n"/>
      <c r="D8" s="41" t="n"/>
      <c r="E8" s="42" t="n"/>
      <c r="F8" s="42" t="n"/>
      <c r="G8" s="43">
        <f>AVERAGE(D8,E8,F8)</f>
        <v/>
      </c>
      <c r="H8" s="42" t="n"/>
    </row>
    <row r="9" ht="53.25" customHeight="1">
      <c r="B9" s="102" t="n">
        <v>3</v>
      </c>
      <c r="C9" s="107" t="inlineStr">
        <is>
          <t>Instructional delivery</t>
        </is>
      </c>
      <c r="D9" s="44" t="inlineStr">
        <is>
          <t>The teacher provides clear and differentiated instructions and explanations.</t>
        </is>
      </c>
      <c r="E9" s="39" t="inlineStr">
        <is>
          <t>The teacher uses the appropriate language level for students.</t>
        </is>
      </c>
      <c r="F9" s="39" t="inlineStr">
        <is>
          <t>The teacher encourages interaction and communication among students.</t>
        </is>
      </c>
      <c r="G9" s="39" t="inlineStr">
        <is>
          <t>Average Observe</t>
        </is>
      </c>
      <c r="H9" s="40" t="inlineStr">
        <is>
          <t>Comments</t>
        </is>
      </c>
    </row>
    <row r="10" ht="30.75" customHeight="1" thickBot="1">
      <c r="B10" s="108" t="n"/>
      <c r="C10" s="108" t="n"/>
      <c r="D10" s="41" t="n"/>
      <c r="E10" s="42" t="n"/>
      <c r="F10" s="42" t="n"/>
      <c r="G10" s="43">
        <f>AVERAGE(D10,E10,F10)</f>
        <v/>
      </c>
      <c r="H10" s="42" t="n"/>
    </row>
    <row r="11" ht="53.25" customHeight="1">
      <c r="B11" s="102" t="n">
        <v>4</v>
      </c>
      <c r="C11" s="107" t="inlineStr">
        <is>
          <t>Assessment and feedback</t>
        </is>
      </c>
      <c r="D11" s="38" t="inlineStr">
        <is>
          <t>The teacher monitors student progress during the lesson.</t>
        </is>
      </c>
      <c r="E11" s="39" t="inlineStr">
        <is>
          <t>The teacher provides timely and constructive feedback.</t>
        </is>
      </c>
      <c r="F11" s="39" t="inlineStr">
        <is>
          <t>The teacher adjusts teaching based on students’ understanding and feedback</t>
        </is>
      </c>
      <c r="G11" s="39" t="inlineStr">
        <is>
          <t>Average Observe</t>
        </is>
      </c>
      <c r="H11" s="40" t="inlineStr">
        <is>
          <t>Comments</t>
        </is>
      </c>
    </row>
    <row r="12" ht="30.75" customHeight="1" thickBot="1">
      <c r="B12" s="108" t="n"/>
      <c r="C12" s="108" t="n"/>
      <c r="D12" s="41" t="n"/>
      <c r="E12" s="42" t="n"/>
      <c r="F12" s="42" t="n"/>
      <c r="G12" s="43">
        <f>AVERAGE(D12,E12,F12)</f>
        <v/>
      </c>
      <c r="H12" s="42" t="n"/>
    </row>
    <row r="13" ht="53.25" customHeight="1">
      <c r="B13" s="102" t="n">
        <v>5</v>
      </c>
      <c r="C13" s="107" t="inlineStr">
        <is>
          <t>Language use</t>
        </is>
      </c>
      <c r="D13" s="44" t="inlineStr">
        <is>
          <t>The teacher integrates grammar, vocabulary and pronunciation effectively.</t>
        </is>
      </c>
      <c r="E13" s="39" t="inlineStr">
        <is>
          <t>The teacher provides opportunities for students to practice and use English.</t>
        </is>
      </c>
      <c r="F13" s="39" t="inlineStr">
        <is>
          <t>The teacher is a proficient model of language.</t>
        </is>
      </c>
      <c r="G13" s="39" t="inlineStr">
        <is>
          <t>Average Observe</t>
        </is>
      </c>
      <c r="H13" s="40" t="inlineStr">
        <is>
          <t>Comments</t>
        </is>
      </c>
    </row>
    <row r="14" ht="30.75" customHeight="1" thickBot="1">
      <c r="B14" s="108" t="n"/>
      <c r="C14" s="108" t="n"/>
      <c r="D14" s="41" t="n"/>
      <c r="E14" s="42" t="n"/>
      <c r="F14" s="42" t="n"/>
      <c r="G14" s="43">
        <f>AVERAGE(D14,E14,F14)</f>
        <v/>
      </c>
      <c r="H14" s="42" t="n"/>
    </row>
    <row r="15" ht="36.75" customHeight="1" thickBot="1">
      <c r="B15" s="109" t="inlineStr">
        <is>
          <t>Sum</t>
        </is>
      </c>
      <c r="C15" s="106" t="n"/>
      <c r="D15" s="45">
        <f>SUM(D5:D14)</f>
        <v/>
      </c>
      <c r="E15" s="93">
        <f>SUM(E5:E14)</f>
        <v/>
      </c>
      <c r="F15" s="93">
        <f>SUM(F5:F14)</f>
        <v/>
      </c>
      <c r="G15" s="47">
        <f>SUM(G5:G14)/5</f>
        <v/>
      </c>
      <c r="H15" s="93">
        <f>SUM(H5:H13)</f>
        <v/>
      </c>
    </row>
  </sheetData>
  <mergeCells count="13">
    <mergeCell ref="C9:C10"/>
    <mergeCell ref="B9:B10"/>
    <mergeCell ref="B15:C15"/>
    <mergeCell ref="B4:C4"/>
    <mergeCell ref="B13:B14"/>
    <mergeCell ref="C7:C8"/>
    <mergeCell ref="B7:B8"/>
    <mergeCell ref="B11:B12"/>
    <mergeCell ref="C11:C12"/>
    <mergeCell ref="B3:H3"/>
    <mergeCell ref="C13:C14"/>
    <mergeCell ref="B5:B6"/>
    <mergeCell ref="C5:C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3:H15"/>
  <sheetViews>
    <sheetView topLeftCell="A4" workbookViewId="0">
      <selection activeCell="I7" sqref="I7"/>
    </sheetView>
  </sheetViews>
  <sheetFormatPr baseColWidth="8" defaultRowHeight="14.4"/>
  <cols>
    <col width="5.44140625" customWidth="1" min="2" max="2"/>
    <col width="47.44140625" customWidth="1" min="3" max="3"/>
    <col width="35.33203125" customWidth="1" min="4" max="4"/>
    <col width="42.5546875" customWidth="1" min="5" max="5"/>
    <col width="39.6640625" customWidth="1" min="6" max="6"/>
    <col width="14.6640625" customWidth="1" min="7" max="7"/>
    <col width="49.33203125" customWidth="1" min="8" max="8"/>
  </cols>
  <sheetData>
    <row r="2" ht="15" customHeight="1" thickBot="1"/>
    <row r="3" ht="37.5" customHeight="1" thickBot="1">
      <c r="B3" s="104" t="inlineStr">
        <is>
          <t>Observer</t>
        </is>
      </c>
      <c r="C3" s="105" t="n"/>
      <c r="D3" s="105" t="n"/>
      <c r="E3" s="105" t="n"/>
      <c r="F3" s="105" t="n"/>
      <c r="G3" s="105" t="n"/>
      <c r="H3" s="106" t="n"/>
    </row>
    <row r="4" ht="30" customHeight="1" thickBot="1">
      <c r="B4" s="104" t="inlineStr">
        <is>
          <t>Observe Date/Class</t>
        </is>
      </c>
      <c r="C4" s="106" t="n"/>
      <c r="D4" s="36" t="n"/>
      <c r="E4" s="37" t="n"/>
      <c r="F4" s="37" t="n"/>
      <c r="G4" s="37" t="n"/>
      <c r="H4" s="48" t="inlineStr">
        <is>
          <t>Class</t>
        </is>
      </c>
    </row>
    <row r="5" ht="53.25" customHeight="1">
      <c r="B5" s="102" t="n">
        <v>1</v>
      </c>
      <c r="C5" s="107" t="inlineStr">
        <is>
          <t>Lesson planning and preparation</t>
        </is>
      </c>
      <c r="D5" s="38" t="inlineStr">
        <is>
          <t>The teacher is following a clear and well-structured lesson plan.</t>
        </is>
      </c>
      <c r="E5" s="39" t="inlineStr">
        <is>
          <t>The teacher tailors the lesson to meet the students’ needs and proficiency level.</t>
        </is>
      </c>
      <c r="F5" s="39" t="inlineStr">
        <is>
          <t>Appropriate and varied materials are prepared and used effectively</t>
        </is>
      </c>
      <c r="G5" s="39" t="inlineStr">
        <is>
          <t>Average Observe</t>
        </is>
      </c>
      <c r="H5" s="40" t="inlineStr">
        <is>
          <t>Comments</t>
        </is>
      </c>
    </row>
    <row r="6" ht="30.75" customHeight="1" thickBot="1">
      <c r="B6" s="108" t="n"/>
      <c r="C6" s="108" t="n"/>
      <c r="D6" s="41" t="n"/>
      <c r="E6" s="42" t="n"/>
      <c r="F6" s="42" t="n"/>
      <c r="G6" s="43">
        <f>AVERAGE(D6,E6,F6)</f>
        <v/>
      </c>
      <c r="H6" s="42" t="n"/>
    </row>
    <row r="7" ht="53.25" customHeight="1">
      <c r="B7" s="102" t="n">
        <v>2</v>
      </c>
      <c r="C7" s="107" t="inlineStr">
        <is>
          <t>Classroom management</t>
        </is>
      </c>
      <c r="D7" s="38" t="inlineStr">
        <is>
          <t>The classroom environment is conductive to learning.</t>
        </is>
      </c>
      <c r="E7" s="39" t="inlineStr">
        <is>
          <t>Students are actively engaged and participating throughout the lesson.</t>
        </is>
      </c>
      <c r="F7" s="39" t="inlineStr">
        <is>
          <t>The teacher manages class time, transitions and activities effectively.</t>
        </is>
      </c>
      <c r="G7" s="39" t="inlineStr">
        <is>
          <t>Average Observe</t>
        </is>
      </c>
      <c r="H7" s="40" t="inlineStr">
        <is>
          <t>Comments:</t>
        </is>
      </c>
    </row>
    <row r="8" ht="30.75" customHeight="1" thickBot="1">
      <c r="B8" s="108" t="n"/>
      <c r="C8" s="108" t="n"/>
      <c r="D8" s="41" t="n"/>
      <c r="E8" s="42" t="n"/>
      <c r="F8" s="42" t="n"/>
      <c r="G8" s="43">
        <f>AVERAGE(D8,E8,F8)</f>
        <v/>
      </c>
      <c r="H8" s="42" t="n"/>
    </row>
    <row r="9" ht="53.25" customHeight="1">
      <c r="B9" s="102" t="n">
        <v>3</v>
      </c>
      <c r="C9" s="107" t="inlineStr">
        <is>
          <t>Instructional delivery</t>
        </is>
      </c>
      <c r="D9" s="44" t="inlineStr">
        <is>
          <t>The teacher provides clear and differentiated instructions and explanations.</t>
        </is>
      </c>
      <c r="E9" s="39" t="inlineStr">
        <is>
          <t>The teacher uses the appropriate language level for students.</t>
        </is>
      </c>
      <c r="F9" s="39" t="inlineStr">
        <is>
          <t>The teacher encourages interaction and communication among students.</t>
        </is>
      </c>
      <c r="G9" s="39" t="inlineStr">
        <is>
          <t>Average Observe</t>
        </is>
      </c>
      <c r="H9" s="40" t="inlineStr">
        <is>
          <t>Comments</t>
        </is>
      </c>
    </row>
    <row r="10" ht="30.75" customHeight="1" thickBot="1">
      <c r="B10" s="108" t="n"/>
      <c r="C10" s="108" t="n"/>
      <c r="D10" s="41" t="n"/>
      <c r="E10" s="42" t="n"/>
      <c r="F10" s="42" t="n"/>
      <c r="G10" s="43">
        <f>AVERAGE(D10,E10,F10)</f>
        <v/>
      </c>
      <c r="H10" s="42" t="n"/>
    </row>
    <row r="11" ht="53.25" customHeight="1">
      <c r="B11" s="102" t="n">
        <v>4</v>
      </c>
      <c r="C11" s="107" t="inlineStr">
        <is>
          <t>Assessment and feedback</t>
        </is>
      </c>
      <c r="D11" s="38" t="inlineStr">
        <is>
          <t>The teacher monitors student progress during the lesson.</t>
        </is>
      </c>
      <c r="E11" s="39" t="inlineStr">
        <is>
          <t>The teacher provides timely and constructive feedback.</t>
        </is>
      </c>
      <c r="F11" s="39" t="inlineStr">
        <is>
          <t>The teacher adjusts teaching based on students’ understanding and feedback</t>
        </is>
      </c>
      <c r="G11" s="39" t="inlineStr">
        <is>
          <t>Average Observe</t>
        </is>
      </c>
      <c r="H11" s="40" t="inlineStr">
        <is>
          <t>Comments</t>
        </is>
      </c>
    </row>
    <row r="12" ht="30.75" customHeight="1" thickBot="1">
      <c r="B12" s="108" t="n"/>
      <c r="C12" s="108" t="n"/>
      <c r="D12" s="41" t="n"/>
      <c r="E12" s="42" t="n"/>
      <c r="F12" s="42" t="n"/>
      <c r="G12" s="43">
        <f>AVERAGE(D12,E12,F12)</f>
        <v/>
      </c>
      <c r="H12" s="42" t="n"/>
    </row>
    <row r="13" ht="53.25" customHeight="1">
      <c r="B13" s="102" t="n">
        <v>5</v>
      </c>
      <c r="C13" s="107" t="inlineStr">
        <is>
          <t>Language use</t>
        </is>
      </c>
      <c r="D13" s="44" t="inlineStr">
        <is>
          <t>The teacher integrates grammar, vocabulary and pronunciation effectively.</t>
        </is>
      </c>
      <c r="E13" s="39" t="inlineStr">
        <is>
          <t>The teacher provides opportunities for students to practice and use English.</t>
        </is>
      </c>
      <c r="F13" s="39" t="inlineStr">
        <is>
          <t>The teacher is a proficient model of language.</t>
        </is>
      </c>
      <c r="G13" s="39" t="inlineStr">
        <is>
          <t>Average Observe</t>
        </is>
      </c>
      <c r="H13" s="40" t="inlineStr">
        <is>
          <t>Comments</t>
        </is>
      </c>
    </row>
    <row r="14" ht="30.75" customHeight="1" thickBot="1">
      <c r="B14" s="108" t="n"/>
      <c r="C14" s="108" t="n"/>
      <c r="D14" s="41" t="n"/>
      <c r="E14" s="42" t="n"/>
      <c r="F14" s="42" t="n"/>
      <c r="G14" s="43">
        <f>AVERAGE(D14,E14,F14)</f>
        <v/>
      </c>
      <c r="H14" s="42" t="n"/>
    </row>
    <row r="15" ht="36.75" customHeight="1" thickBot="1">
      <c r="B15" s="109" t="inlineStr">
        <is>
          <t>Sum</t>
        </is>
      </c>
      <c r="C15" s="106" t="n"/>
      <c r="D15" s="45">
        <f>SUM(D5:D14)</f>
        <v/>
      </c>
      <c r="E15" s="93">
        <f>SUM(E5:E14)</f>
        <v/>
      </c>
      <c r="F15" s="93">
        <f>SUM(F5:F14)</f>
        <v/>
      </c>
      <c r="G15" s="47">
        <f>SUM(G5:G14)/5</f>
        <v/>
      </c>
      <c r="H15" s="93">
        <f>SUM(H5:H13)</f>
        <v/>
      </c>
    </row>
  </sheetData>
  <mergeCells count="13">
    <mergeCell ref="C9:C10"/>
    <mergeCell ref="B9:B10"/>
    <mergeCell ref="B15:C15"/>
    <mergeCell ref="B4:C4"/>
    <mergeCell ref="B13:B14"/>
    <mergeCell ref="C7:C8"/>
    <mergeCell ref="B7:B8"/>
    <mergeCell ref="B11:B12"/>
    <mergeCell ref="C11:C12"/>
    <mergeCell ref="B3:H3"/>
    <mergeCell ref="C13:C14"/>
    <mergeCell ref="B5:B6"/>
    <mergeCell ref="C5:C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3:H15"/>
  <sheetViews>
    <sheetView workbookViewId="0">
      <selection activeCell="I7" sqref="I7"/>
    </sheetView>
  </sheetViews>
  <sheetFormatPr baseColWidth="8" defaultRowHeight="14.4"/>
  <cols>
    <col width="5.44140625" customWidth="1" min="2" max="2"/>
    <col width="47.44140625" customWidth="1" min="3" max="3"/>
    <col width="35.33203125" customWidth="1" min="4" max="4"/>
    <col width="42.5546875" customWidth="1" min="5" max="5"/>
    <col width="39.6640625" customWidth="1" min="6" max="6"/>
    <col width="14.6640625" customWidth="1" min="7" max="7"/>
    <col width="49.33203125" customWidth="1" min="8" max="8"/>
  </cols>
  <sheetData>
    <row r="2" ht="15" customHeight="1" thickBot="1"/>
    <row r="3" ht="37.5" customHeight="1" thickBot="1">
      <c r="B3" s="104" t="inlineStr">
        <is>
          <t>Observer</t>
        </is>
      </c>
      <c r="C3" s="105" t="n"/>
      <c r="D3" s="105" t="n"/>
      <c r="E3" s="105" t="n"/>
      <c r="F3" s="105" t="n"/>
      <c r="G3" s="105" t="n"/>
      <c r="H3" s="106" t="n"/>
    </row>
    <row r="4" ht="30" customHeight="1" thickBot="1">
      <c r="B4" s="104" t="inlineStr">
        <is>
          <t>Observe Date/Class</t>
        </is>
      </c>
      <c r="C4" s="106" t="n"/>
      <c r="D4" s="36" t="n"/>
      <c r="E4" s="37" t="n"/>
      <c r="F4" s="37" t="n"/>
      <c r="G4" s="37" t="n"/>
      <c r="H4" s="48" t="inlineStr">
        <is>
          <t>Class</t>
        </is>
      </c>
    </row>
    <row r="5" ht="53.25" customHeight="1">
      <c r="B5" s="102" t="n">
        <v>1</v>
      </c>
      <c r="C5" s="107" t="inlineStr">
        <is>
          <t>Lesson planning and preparation</t>
        </is>
      </c>
      <c r="D5" s="38" t="inlineStr">
        <is>
          <t>The teacher is following a clear and well-structured lesson plan.</t>
        </is>
      </c>
      <c r="E5" s="39" t="inlineStr">
        <is>
          <t>The teacher tailors the lesson to meet the students’ needs and proficiency level.</t>
        </is>
      </c>
      <c r="F5" s="39" t="inlineStr">
        <is>
          <t>Appropriate and varied materials are prepared and used effectively</t>
        </is>
      </c>
      <c r="G5" s="39" t="inlineStr">
        <is>
          <t>Average Observe</t>
        </is>
      </c>
      <c r="H5" s="40" t="inlineStr">
        <is>
          <t>Comments</t>
        </is>
      </c>
    </row>
    <row r="6" ht="30.75" customHeight="1" thickBot="1">
      <c r="B6" s="108" t="n"/>
      <c r="C6" s="108" t="n"/>
      <c r="D6" s="41" t="n"/>
      <c r="E6" s="42" t="n"/>
      <c r="F6" s="42" t="n"/>
      <c r="G6" s="43">
        <f>AVERAGE(D6,E6,F6)</f>
        <v/>
      </c>
      <c r="H6" s="42" t="n"/>
    </row>
    <row r="7" ht="53.25" customHeight="1">
      <c r="B7" s="102" t="n">
        <v>2</v>
      </c>
      <c r="C7" s="107" t="inlineStr">
        <is>
          <t>Classroom management</t>
        </is>
      </c>
      <c r="D7" s="38" t="inlineStr">
        <is>
          <t>The classroom environment is conductive to learning.</t>
        </is>
      </c>
      <c r="E7" s="39" t="inlineStr">
        <is>
          <t>Students are actively engaged and participating throughout the lesson.</t>
        </is>
      </c>
      <c r="F7" s="39" t="inlineStr">
        <is>
          <t>The teacher manages class time, transitions and activities effectively.</t>
        </is>
      </c>
      <c r="G7" s="39" t="inlineStr">
        <is>
          <t>Average Observe</t>
        </is>
      </c>
      <c r="H7" s="40" t="inlineStr">
        <is>
          <t>Comments:</t>
        </is>
      </c>
    </row>
    <row r="8" ht="30.75" customHeight="1" thickBot="1">
      <c r="B8" s="108" t="n"/>
      <c r="C8" s="108" t="n"/>
      <c r="D8" s="41" t="n"/>
      <c r="E8" s="42" t="n"/>
      <c r="F8" s="42" t="n"/>
      <c r="G8" s="43">
        <f>AVERAGE(D8,E8,F8)</f>
        <v/>
      </c>
      <c r="H8" s="42" t="n"/>
    </row>
    <row r="9" ht="53.25" customHeight="1">
      <c r="B9" s="102" t="n">
        <v>3</v>
      </c>
      <c r="C9" s="107" t="inlineStr">
        <is>
          <t>Instructional delivery</t>
        </is>
      </c>
      <c r="D9" s="44" t="inlineStr">
        <is>
          <t>The teacher provides clear and differentiated instructions and explanations.</t>
        </is>
      </c>
      <c r="E9" s="39" t="inlineStr">
        <is>
          <t>The teacher uses the appropriate language level for students.</t>
        </is>
      </c>
      <c r="F9" s="39" t="inlineStr">
        <is>
          <t>The teacher encourages interaction and communication among students.</t>
        </is>
      </c>
      <c r="G9" s="39" t="inlineStr">
        <is>
          <t>Average Observe</t>
        </is>
      </c>
      <c r="H9" s="40" t="inlineStr">
        <is>
          <t>Comments</t>
        </is>
      </c>
    </row>
    <row r="10" ht="30.75" customHeight="1" thickBot="1">
      <c r="B10" s="108" t="n"/>
      <c r="C10" s="108" t="n"/>
      <c r="D10" s="41" t="n"/>
      <c r="E10" s="42" t="n"/>
      <c r="F10" s="42" t="n"/>
      <c r="G10" s="43">
        <f>AVERAGE(D10,E10,F10)</f>
        <v/>
      </c>
      <c r="H10" s="42" t="n"/>
    </row>
    <row r="11" ht="53.25" customHeight="1">
      <c r="B11" s="102" t="n">
        <v>4</v>
      </c>
      <c r="C11" s="107" t="inlineStr">
        <is>
          <t>Assessment and feedback</t>
        </is>
      </c>
      <c r="D11" s="38" t="inlineStr">
        <is>
          <t>The teacher monitors student progress during the lesson.</t>
        </is>
      </c>
      <c r="E11" s="39" t="inlineStr">
        <is>
          <t>The teacher provides timely and constructive feedback.</t>
        </is>
      </c>
      <c r="F11" s="39" t="inlineStr">
        <is>
          <t>The teacher adjusts teaching based on students’ understanding and feedback</t>
        </is>
      </c>
      <c r="G11" s="39" t="inlineStr">
        <is>
          <t>Average Observe</t>
        </is>
      </c>
      <c r="H11" s="40" t="inlineStr">
        <is>
          <t>Comments</t>
        </is>
      </c>
    </row>
    <row r="12" ht="30.75" customHeight="1" thickBot="1">
      <c r="B12" s="108" t="n"/>
      <c r="C12" s="108" t="n"/>
      <c r="D12" s="41" t="n"/>
      <c r="E12" s="42" t="n"/>
      <c r="F12" s="42" t="n"/>
      <c r="G12" s="43">
        <f>AVERAGE(D12,E12,F12)</f>
        <v/>
      </c>
      <c r="H12" s="42" t="n"/>
    </row>
    <row r="13" ht="53.25" customHeight="1">
      <c r="B13" s="102" t="n">
        <v>5</v>
      </c>
      <c r="C13" s="107" t="inlineStr">
        <is>
          <t>Language use</t>
        </is>
      </c>
      <c r="D13" s="44" t="inlineStr">
        <is>
          <t>The teacher integrates grammar, vocabulary and pronunciation effectively.</t>
        </is>
      </c>
      <c r="E13" s="39" t="inlineStr">
        <is>
          <t>The teacher provides opportunities for students to practice and use English.</t>
        </is>
      </c>
      <c r="F13" s="39" t="inlineStr">
        <is>
          <t>The teacher is a proficient model of language.</t>
        </is>
      </c>
      <c r="G13" s="39" t="inlineStr">
        <is>
          <t>Average Observe</t>
        </is>
      </c>
      <c r="H13" s="40" t="inlineStr">
        <is>
          <t>Comments</t>
        </is>
      </c>
    </row>
    <row r="14" ht="30.75" customHeight="1" thickBot="1">
      <c r="B14" s="108" t="n"/>
      <c r="C14" s="108" t="n"/>
      <c r="D14" s="41" t="n"/>
      <c r="E14" s="42" t="n"/>
      <c r="F14" s="42" t="n"/>
      <c r="G14" s="43">
        <f>AVERAGE(D14,E14,F14)</f>
        <v/>
      </c>
      <c r="H14" s="42" t="n"/>
    </row>
    <row r="15" ht="36.75" customHeight="1" thickBot="1">
      <c r="B15" s="109" t="inlineStr">
        <is>
          <t>Sum</t>
        </is>
      </c>
      <c r="C15" s="106" t="n"/>
      <c r="D15" s="45">
        <f>SUM(D5:D14)</f>
        <v/>
      </c>
      <c r="E15" s="93">
        <f>SUM(E5:E14)</f>
        <v/>
      </c>
      <c r="F15" s="93">
        <f>SUM(F5:F14)</f>
        <v/>
      </c>
      <c r="G15" s="47">
        <f>SUM(G5:G14)/5</f>
        <v/>
      </c>
      <c r="H15" s="93">
        <f>SUM(H5:H13)</f>
        <v/>
      </c>
    </row>
  </sheetData>
  <mergeCells count="13">
    <mergeCell ref="C9:C10"/>
    <mergeCell ref="B9:B10"/>
    <mergeCell ref="B15:C15"/>
    <mergeCell ref="B4:C4"/>
    <mergeCell ref="B13:B14"/>
    <mergeCell ref="C7:C8"/>
    <mergeCell ref="B7:B8"/>
    <mergeCell ref="B11:B12"/>
    <mergeCell ref="C11:C12"/>
    <mergeCell ref="B3:H3"/>
    <mergeCell ref="C13:C14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2025-08-10T14:46:44Z</dcterms:modified>
</cp:coreProperties>
</file>