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1" autoFilterDateGrouping="1"/>
  </bookViews>
  <sheets>
    <sheet xmlns:r="http://schemas.openxmlformats.org/officeDocument/2006/relationships" name="blank" sheetId="1" state="visible" r:id="rId1"/>
    <sheet xmlns:r="http://schemas.openxmlformats.org/officeDocument/2006/relationships" name="Co Zero" sheetId="2" state="visible" r:id="rId2"/>
    <sheet xmlns:r="http://schemas.openxmlformats.org/officeDocument/2006/relationships" name="co 1" sheetId="3" state="visible" r:id="rId3"/>
    <sheet xmlns:r="http://schemas.openxmlformats.org/officeDocument/2006/relationships" name="Co2" sheetId="4" state="visible" r:id="rId4"/>
    <sheet xmlns:r="http://schemas.openxmlformats.org/officeDocument/2006/relationships" name="Co3" sheetId="5" state="visible" r:id="rId5"/>
    <sheet xmlns:r="http://schemas.openxmlformats.org/officeDocument/2006/relationships" name="Co4" sheetId="6" state="visible" r:id="rId6"/>
    <sheet xmlns:r="http://schemas.openxmlformats.org/officeDocument/2006/relationships" name="Co5" sheetId="7" state="visible" r:id="rId7"/>
    <sheet xmlns:r="http://schemas.openxmlformats.org/officeDocument/2006/relationships" name="Co6" sheetId="8" state="visible" r:id="rId8"/>
    <sheet xmlns:r="http://schemas.openxmlformats.org/officeDocument/2006/relationships" name="Co7" sheetId="9" state="visible" r:id="rId9"/>
    <sheet xmlns:r="http://schemas.openxmlformats.org/officeDocument/2006/relationships" name="Co8" sheetId="10" state="visible" r:id="rId10"/>
    <sheet xmlns:r="http://schemas.openxmlformats.org/officeDocument/2006/relationships" name="Co9" sheetId="11" state="visible" r:id="rId11"/>
    <sheet xmlns:r="http://schemas.openxmlformats.org/officeDocument/2006/relationships" name="results" sheetId="12" state="visible" r:id="rId12"/>
  </sheets>
  <definedNames>
    <definedName name="_xlnm.Print_Area" localSheetId="11">'results'!$B$1:$AM$20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/mm/dd;@"/>
  </numFmts>
  <fonts count="8">
    <font>
      <name val="Calibri"/>
      <charset val="178"/>
      <family val="2"/>
      <color theme="1"/>
      <sz val="11"/>
      <scheme val="minor"/>
    </font>
    <font>
      <name val="Calibri"/>
      <charset val="178"/>
      <family val="2"/>
      <color theme="1"/>
      <sz val="14"/>
      <scheme val="minor"/>
    </font>
    <font>
      <name val="2  Arabic Style"/>
      <charset val="178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78"/>
      <family val="2"/>
      <color theme="1"/>
      <sz val="11"/>
      <scheme val="minor"/>
    </font>
    <font>
      <name val="Calibri"/>
      <charset val="178"/>
      <family val="2"/>
      <color theme="1"/>
      <sz val="10"/>
      <scheme val="minor"/>
    </font>
    <font>
      <name val="Calibri"/>
      <charset val="178"/>
      <family val="2"/>
      <color theme="1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rgb="FFFCFBC1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2">
    <xf numFmtId="0" fontId="5" fillId="0" borderId="0"/>
    <xf numFmtId="9" fontId="5" fillId="0" borderId="0"/>
  </cellStyleXfs>
  <cellXfs count="8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9" fontId="0" fillId="0" borderId="2" applyAlignment="1" pivotButton="0" quotePrefix="0" xfId="1">
      <alignment horizontal="center" vertical="center"/>
    </xf>
    <xf numFmtId="9" fontId="0" fillId="0" borderId="3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4" borderId="15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4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 wrapText="1"/>
    </xf>
    <xf numFmtId="2" fontId="0" fillId="0" borderId="18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2" fontId="0" fillId="6" borderId="6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3" fillId="7" borderId="5" applyAlignment="1" pivotButton="0" quotePrefix="0" xfId="0">
      <alignment vertical="center"/>
    </xf>
    <xf numFmtId="0" fontId="4" fillId="7" borderId="23" applyAlignment="1" pivotButton="0" quotePrefix="0" xfId="0">
      <alignment vertical="center"/>
    </xf>
    <xf numFmtId="0" fontId="4" fillId="3" borderId="14" applyAlignment="1" pivotButton="0" quotePrefix="0" xfId="0">
      <alignment vertical="center"/>
    </xf>
    <xf numFmtId="2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18" applyAlignment="1" pivotButton="0" quotePrefix="0" xfId="0">
      <alignment horizontal="center" vertical="center"/>
    </xf>
    <xf numFmtId="164" fontId="0" fillId="8" borderId="3" applyAlignment="1" pivotButton="0" quotePrefix="0" xfId="0">
      <alignment horizontal="center" vertical="center"/>
    </xf>
    <xf numFmtId="164" fontId="0" fillId="8" borderId="1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5" pivotButton="0" quotePrefix="0" xfId="0"/>
    <xf numFmtId="0" fontId="0" fillId="0" borderId="34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7" pivotButton="0" quotePrefix="0" xfId="0"/>
    <xf numFmtId="2" fontId="0" fillId="8" borderId="18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4" fillId="4" borderId="1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20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2" fillId="7" borderId="3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37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2" pivotButton="0" quotePrefix="0" xfId="0"/>
    <xf numFmtId="0" fontId="0" fillId="6" borderId="35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3" pivotButton="0" quotePrefix="0" xfId="0"/>
    <xf numFmtId="0" fontId="4" fillId="4" borderId="37" applyAlignment="1" pivotButton="0" quotePrefix="0" xfId="0">
      <alignment horizontal="center" vertical="center"/>
    </xf>
    <xf numFmtId="0" fontId="0" fillId="0" borderId="2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obseve chart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700763441431089"/>
          <y val="0.1520946348771894"/>
          <w val="0.8901968503937008"/>
          <h val="0.6149843248760571"/>
        </manualLayout>
      </layout>
      <barChart>
        <barDir val="col"/>
        <grouping val="clustered"/>
        <varyColors val="0"/>
        <ser>
          <idx val="1"/>
          <order val="0"/>
          <tx>
            <strRef>
              <f>results!$E$4</f>
              <strCache>
                <ptCount val="1"/>
                <pt idx="0">
                  <v>مجازی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4">
                    <a:tint val="67000"/>
                    <a:satMod val="105000"/>
                    <a:lumMod val="110000"/>
                  </a:schemeClr>
                </a:gs>
                <a:gs pos="50000">
                  <a:schemeClr val="accent4">
                    <a:tint val="73000"/>
                    <a:satMod val="103000"/>
                    <a:lumMod val="105000"/>
                  </a:schemeClr>
                </a:gs>
                <a:gs pos="100000">
                  <a:schemeClr val="accent4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xmlns:a="http://schemas.openxmlformats.org/drawingml/2006/main" w="9525" cap="flat" cmpd="sng" algn="ctr">
              <a:solidFill>
                <a:schemeClr val="accent4">
                  <a:shade val="95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results!$C$5:$C$14</f>
              <strCache>
                <ptCount val="10"/>
                <pt idx="0">
                  <v>cvbvb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strCache>
            </strRef>
          </cat>
          <val>
            <numRef>
              <f>results!$E$5:$E$14</f>
              <numCache>
                <formatCode>0</formatCode>
                <ptCount val="10"/>
              </numCache>
            </numRef>
          </val>
        </ser>
        <ser>
          <idx val="2"/>
          <order val="1"/>
          <tx>
            <strRef>
              <f>results!$F$4</f>
              <strCache>
                <ptCount val="1"/>
                <pt idx="0">
                  <v>حضوری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6">
                    <a:tint val="67000"/>
                    <a:satMod val="105000"/>
                    <a:lumMod val="110000"/>
                  </a:schemeClr>
                </a:gs>
                <a:gs pos="50000">
                  <a:schemeClr val="accent6">
                    <a:tint val="73000"/>
                    <a:satMod val="103000"/>
                    <a:lumMod val="105000"/>
                  </a:schemeClr>
                </a:gs>
                <a:gs pos="100000">
                  <a:schemeClr val="accent6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xmlns:a="http://schemas.openxmlformats.org/drawingml/2006/main" w="9525" cap="flat" cmpd="sng" algn="ctr">
              <a:solidFill>
                <a:schemeClr val="accent6">
                  <a:shade val="95000"/>
                </a:schemeClr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results!$C$5:$C$14</f>
              <strCache>
                <ptCount val="10"/>
                <pt idx="0">
                  <v>cvbvb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strCache>
            </strRef>
          </cat>
          <val>
            <numRef>
              <f>results!$F$5:$F$14</f>
              <numCache>
                <formatCode>0</formatCode>
                <ptCount val="10"/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34743488"/>
        <axId val="1634745152"/>
      </barChart>
      <catAx>
        <axId val="163474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34745152"/>
        <crosses val="autoZero"/>
        <auto val="1"/>
        <lblAlgn val="ctr"/>
        <lblOffset val="100"/>
        <noMultiLvlLbl val="0"/>
      </catAx>
      <valAx>
        <axId val="163474515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63474348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results!$D$22:$D$24</f>
              <strCache>
                <ptCount val="3"/>
                <pt idx="0">
                  <v>Pre-KC / KC2d</v>
                </pt>
                <pt idx="1">
                  <v>KC3a/KC3d</v>
                </pt>
                <pt idx="2">
                  <v>KC4a/KC4c</v>
                </pt>
              </strCache>
            </strRef>
          </cat>
          <val>
            <numRef>
              <f>results!$E$22:$E$24</f>
              <numCache>
                <formatCode>General</formatCode>
                <ptCount val="3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results!$D$38:$D$42</f>
              <strCache>
                <ptCount val="5"/>
                <pt idx="0">
                  <v>StA/C</v>
                </pt>
                <pt idx="1">
                  <v>CES1/2</v>
                </pt>
                <pt idx="2">
                  <v>CES3</v>
                </pt>
                <pt idx="3">
                  <v>CES4/5</v>
                </pt>
                <pt idx="4">
                  <v>CES6</v>
                </pt>
              </strCache>
            </strRef>
          </cat>
          <val>
            <numRef>
              <f>results!$E$38:$E$42</f>
              <numCache>
                <formatCode>General</formatCode>
                <ptCount val="5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results!$D$59:$D$66</f>
              <strCache>
                <ptCount val="8"/>
                <pt idx="0">
                  <v>Basics</v>
                </pt>
                <pt idx="1">
                  <v>SE1/2</v>
                </pt>
                <pt idx="2">
                  <v>SE3/4</v>
                </pt>
                <pt idx="3">
                  <v>SP1/4</v>
                </pt>
                <pt idx="4">
                  <v>SI1/2</v>
                </pt>
                <pt idx="5">
                  <v>SI3/4</v>
                </pt>
                <pt idx="6">
                  <v>SU1/2</v>
                </pt>
                <pt idx="7">
                  <v>SU3/4</v>
                </pt>
              </strCache>
            </strRef>
          </cat>
          <val>
            <numRef>
              <f>results!$E$59:$E$66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Adults (CO-CPE)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chemeClr val="accent3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chemeClr val="accent4">
                  <a:lumMod val="60000"/>
                </a:schemeClr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results!$D$79:$D$88</f>
              <strCache>
                <ptCount val="10"/>
                <pt idx="0">
                  <v>COZ/2</v>
                </pt>
                <pt idx="1">
                  <v>CO3/4</v>
                </pt>
                <pt idx="2">
                  <v>CO4+/CO5</v>
                </pt>
                <pt idx="3">
                  <v>CO6/6+</v>
                </pt>
                <pt idx="4">
                  <v>CO7/8</v>
                </pt>
                <pt idx="5">
                  <v>CO9</v>
                </pt>
                <pt idx="6">
                  <v>COMP1-2/FCE1-2</v>
                </pt>
                <pt idx="7">
                  <v>COMP3-4/FCE3-4</v>
                </pt>
                <pt idx="8">
                  <v>COMP5-6/CAE</v>
                </pt>
                <pt idx="9">
                  <v>CPE</v>
                </pt>
              </strCache>
            </strRef>
          </cat>
          <val>
            <numRef>
              <f>results!$E$79:$E$88</f>
              <numCache>
                <formatCode>General</formatCode>
                <ptCount val="10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12</col>
      <colOff>1511</colOff>
      <row>2</row>
      <rowOff>1208</rowOff>
    </from>
    <to>
      <col>24</col>
      <colOff>300868</colOff>
      <row>15</row>
      <rowOff>148164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19050</colOff>
      <row>18</row>
      <rowOff>123826</rowOff>
    </from>
    <to>
      <col>14</col>
      <colOff>0</colOff>
      <row>30</row>
      <rowOff>171451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6</col>
      <colOff>19050</colOff>
      <row>34</row>
      <rowOff>0</rowOff>
    </from>
    <to>
      <col>14</col>
      <colOff>38100</colOff>
      <row>48</row>
      <rowOff>171450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6</col>
      <colOff>28574</colOff>
      <row>54</row>
      <rowOff>9525</rowOff>
    </from>
    <to>
      <col>14</col>
      <colOff>57149</colOff>
      <row>71</row>
      <rowOff>180975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5</col>
      <colOff>600075</colOff>
      <row>76</row>
      <rowOff>9526</rowOff>
    </from>
    <to>
      <col>14</col>
      <colOff>200025</colOff>
      <row>97</row>
      <rowOff>142876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F6" sqref="F6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11:C12"/>
    <mergeCell ref="B3:H3"/>
    <mergeCell ref="C13:C14"/>
    <mergeCell ref="B4:C4"/>
    <mergeCell ref="C5:C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H15"/>
  <sheetViews>
    <sheetView zoomScaleNormal="100" workbookViewId="0">
      <selection activeCell="I9" sqref="I9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inlineStr">
        <is>
          <t>cvbvb</t>
        </is>
      </c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15"/>
  <sheetViews>
    <sheetView zoomScaleNormal="100" workbookViewId="0">
      <selection activeCell="B4" sqref="B4:C4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H15"/>
  <sheetViews>
    <sheetView zoomScaleNormal="100" workbookViewId="0">
      <selection activeCell="B4" sqref="B4:C4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A1" sqref="A1:XFD1048576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A1" sqref="A1:XFD1048576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A1" sqref="A1:XFD1048576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A1" sqref="A1:XFD1048576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H15"/>
  <sheetViews>
    <sheetView topLeftCell="A2" workbookViewId="0">
      <selection activeCell="A1" sqref="A1:XFD1048576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H15"/>
  <sheetViews>
    <sheetView topLeftCell="A2" workbookViewId="0">
      <selection activeCell="A1" sqref="A1:XFD1048576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E10" sqref="E10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70" t="n"/>
      <c r="C3" s="71" t="n"/>
      <c r="D3" s="71" t="n"/>
      <c r="E3" s="71" t="n"/>
      <c r="F3" s="71" t="n"/>
      <c r="G3" s="71" t="n"/>
      <c r="H3" s="72" t="n"/>
    </row>
    <row r="4" ht="29.25" customHeight="1" thickBot="1">
      <c r="B4" s="70" t="inlineStr">
        <is>
          <t>Observe Date/Class</t>
        </is>
      </c>
      <c r="C4" s="72" t="n"/>
      <c r="D4" s="21" t="n"/>
      <c r="E4" s="22" t="n"/>
      <c r="F4" s="22" t="n"/>
      <c r="G4" s="22" t="n"/>
      <c r="H4" s="23" t="n"/>
    </row>
    <row r="5" ht="53.25" customHeight="1">
      <c r="B5" s="73" t="n">
        <v>1</v>
      </c>
      <c r="C5" s="74" t="inlineStr">
        <is>
          <t>Lesson planning and preparation</t>
        </is>
      </c>
      <c r="D5" s="14" t="inlineStr">
        <is>
          <t>The teacher is following a clear and well-structured lesson plan.</t>
        </is>
      </c>
      <c r="E5" s="11" t="inlineStr">
        <is>
          <t>The teacher tailors the lesson to meet the students’ needs and proficiency level.</t>
        </is>
      </c>
      <c r="F5" s="11" t="inlineStr">
        <is>
          <t>Appropriate and varied materials are prepared and used effectively</t>
        </is>
      </c>
      <c r="G5" s="11" t="inlineStr">
        <is>
          <t>Average Observe</t>
        </is>
      </c>
      <c r="H5" s="12" t="inlineStr">
        <is>
          <t>Comments</t>
        </is>
      </c>
    </row>
    <row r="6" ht="30.75" customHeight="1" thickBot="1">
      <c r="B6" s="75" t="n"/>
      <c r="C6" s="76" t="n"/>
      <c r="D6" s="15" t="n"/>
      <c r="E6" s="13" t="n"/>
      <c r="F6" s="13" t="n"/>
      <c r="G6" s="17">
        <f>AVERAGE(D6,E6,F6)</f>
        <v/>
      </c>
      <c r="H6" s="13" t="n"/>
    </row>
    <row r="7" ht="36.75" customHeight="1">
      <c r="B7" s="73" t="n">
        <v>2</v>
      </c>
      <c r="C7" s="74" t="inlineStr">
        <is>
          <t>Classroom management</t>
        </is>
      </c>
      <c r="D7" s="14" t="inlineStr">
        <is>
          <t>The classroom environment is conductive to learning.</t>
        </is>
      </c>
      <c r="E7" s="11" t="inlineStr">
        <is>
          <t>Students are actively engaged and participating throughout the lesson.</t>
        </is>
      </c>
      <c r="F7" s="11" t="inlineStr">
        <is>
          <t>The teacher manages class time, transitions and activities effectively.</t>
        </is>
      </c>
      <c r="G7" s="11" t="inlineStr">
        <is>
          <t>Average Observe</t>
        </is>
      </c>
      <c r="H7" s="12" t="inlineStr">
        <is>
          <t>Comments:</t>
        </is>
      </c>
    </row>
    <row r="8" ht="36.75" customHeight="1" thickBot="1">
      <c r="B8" s="75" t="n"/>
      <c r="C8" s="76" t="n"/>
      <c r="D8" s="15" t="n"/>
      <c r="E8" s="13" t="n"/>
      <c r="F8" s="13" t="n"/>
      <c r="G8" s="17">
        <f>AVERAGE(D8,E8,F8)</f>
        <v/>
      </c>
      <c r="H8" s="13" t="n"/>
    </row>
    <row r="9" ht="39.75" customHeight="1">
      <c r="B9" s="73" t="n">
        <v>3</v>
      </c>
      <c r="C9" s="74" t="inlineStr">
        <is>
          <t>Instructional delivery</t>
        </is>
      </c>
      <c r="D9" s="16" t="inlineStr">
        <is>
          <t>The teacher provides clear and differentiated instructions and explanations.</t>
        </is>
      </c>
      <c r="E9" s="11" t="inlineStr">
        <is>
          <t>The teacher uses the appropriate language level for students.</t>
        </is>
      </c>
      <c r="F9" s="11" t="inlineStr">
        <is>
          <t>The teacher encourages interaction and communication among students.</t>
        </is>
      </c>
      <c r="G9" s="11" t="inlineStr">
        <is>
          <t>Average Observe</t>
        </is>
      </c>
      <c r="H9" s="12" t="inlineStr">
        <is>
          <t>Comments</t>
        </is>
      </c>
    </row>
    <row r="10" ht="36.75" customHeight="1" thickBot="1">
      <c r="B10" s="75" t="n"/>
      <c r="C10" s="76" t="n"/>
      <c r="D10" s="15" t="n"/>
      <c r="E10" s="13" t="n"/>
      <c r="F10" s="13" t="n"/>
      <c r="G10" s="17">
        <f>AVERAGE(D10,E10,F10)</f>
        <v/>
      </c>
      <c r="H10" s="13" t="n"/>
    </row>
    <row r="11" ht="36.75" customHeight="1">
      <c r="B11" s="73" t="n">
        <v>4</v>
      </c>
      <c r="C11" s="74" t="inlineStr">
        <is>
          <t>Assessment and feedback</t>
        </is>
      </c>
      <c r="D11" s="14" t="inlineStr">
        <is>
          <t>The teacher monitors student progress during the lesson.</t>
        </is>
      </c>
      <c r="E11" s="11" t="inlineStr">
        <is>
          <t>The teacher provides timely and constructive feedback.</t>
        </is>
      </c>
      <c r="F11" s="11" t="inlineStr">
        <is>
          <t>The teacher adjusts teaching based on students’ understanding and feedback</t>
        </is>
      </c>
      <c r="G11" s="11" t="inlineStr">
        <is>
          <t>Average Observe</t>
        </is>
      </c>
      <c r="H11" s="12" t="inlineStr">
        <is>
          <t>Comments</t>
        </is>
      </c>
    </row>
    <row r="12" ht="36.75" customHeight="1" thickBot="1">
      <c r="B12" s="75" t="n"/>
      <c r="C12" s="76" t="n"/>
      <c r="D12" s="15" t="n"/>
      <c r="E12" s="13" t="n"/>
      <c r="F12" s="13" t="n"/>
      <c r="G12" s="17">
        <f>AVERAGE(D12,E12,F12)</f>
        <v/>
      </c>
      <c r="H12" s="13" t="n"/>
    </row>
    <row r="13" ht="36.75" customHeight="1">
      <c r="B13" s="73" t="n">
        <v>5</v>
      </c>
      <c r="C13" s="74" t="inlineStr">
        <is>
          <t>Language use</t>
        </is>
      </c>
      <c r="D13" s="16" t="inlineStr">
        <is>
          <t>The teacher integrates grammar, vocabulary and pronunciation effectively.</t>
        </is>
      </c>
      <c r="E13" s="11" t="inlineStr">
        <is>
          <t>The teacher provides opportunities for students to practice and use English.</t>
        </is>
      </c>
      <c r="F13" s="11" t="inlineStr">
        <is>
          <t>The teacher is a proficient model of language.</t>
        </is>
      </c>
      <c r="G13" s="11" t="inlineStr">
        <is>
          <t>Average Observe</t>
        </is>
      </c>
      <c r="H13" s="12" t="inlineStr">
        <is>
          <t>Comments</t>
        </is>
      </c>
    </row>
    <row r="14" ht="36.75" customHeight="1" thickBot="1">
      <c r="B14" s="75" t="n"/>
      <c r="C14" s="76" t="n"/>
      <c r="D14" s="15" t="n"/>
      <c r="E14" s="13" t="n"/>
      <c r="F14" s="13" t="n"/>
      <c r="G14" s="17">
        <f>AVERAGE(D14,E14,F14)</f>
        <v/>
      </c>
      <c r="H14" s="13" t="n"/>
    </row>
    <row r="15" ht="36.75" customHeight="1" thickBot="1">
      <c r="B15" s="77" t="inlineStr">
        <is>
          <t>Sum</t>
        </is>
      </c>
      <c r="C15" s="72" t="n"/>
      <c r="D15" s="18">
        <f>SUM(D5:D14)</f>
        <v/>
      </c>
      <c r="E15" s="58">
        <f>SUM(E5:E14)</f>
        <v/>
      </c>
      <c r="F15" s="58">
        <f>SUM(F5:F14)</f>
        <v/>
      </c>
      <c r="G15" s="20">
        <f>SUM(G5:G14)/5</f>
        <v/>
      </c>
      <c r="H15" s="58">
        <f>SUM(H5:H13)</f>
        <v/>
      </c>
    </row>
  </sheetData>
  <mergeCells count="13">
    <mergeCell ref="C9:C10"/>
    <mergeCell ref="B9:B10"/>
    <mergeCell ref="B15:C15"/>
    <mergeCell ref="B13:B14"/>
    <mergeCell ref="B5:B6"/>
    <mergeCell ref="C7:C8"/>
    <mergeCell ref="B7:B8"/>
    <mergeCell ref="B11:B12"/>
    <mergeCell ref="C5:C6"/>
    <mergeCell ref="C11:C12"/>
    <mergeCell ref="B3:H3"/>
    <mergeCell ref="B4:C4"/>
    <mergeCell ref="C13:C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O99"/>
  <sheetViews>
    <sheetView tabSelected="1" topLeftCell="A30" zoomScale="90" zoomScaleNormal="90" workbookViewId="0">
      <selection activeCell="E88" sqref="E88"/>
    </sheetView>
  </sheetViews>
  <sheetFormatPr baseColWidth="8" defaultRowHeight="14.4"/>
  <cols>
    <col width="8.88671875" customWidth="1" min="2" max="2"/>
    <col width="19.109375" customWidth="1" min="3" max="3"/>
    <col width="17.44140625" bestFit="1" customWidth="1" min="4" max="4"/>
    <col width="8.33203125" customWidth="1" min="5" max="6"/>
    <col width="16" customWidth="1" min="7" max="10"/>
  </cols>
  <sheetData>
    <row r="2" ht="15" customHeight="1" thickBot="1"/>
    <row r="3" ht="26.25" customHeight="1">
      <c r="B3" s="24" t="inlineStr">
        <is>
          <t>Teacher</t>
        </is>
      </c>
      <c r="C3" s="67">
        <f>blank!B3</f>
        <v/>
      </c>
      <c r="D3" s="78" t="n"/>
      <c r="E3" s="78" t="n"/>
      <c r="F3" s="78" t="n"/>
      <c r="G3" s="79" t="n"/>
      <c r="H3" s="80" t="inlineStr">
        <is>
          <t>قدرت جذب</t>
        </is>
      </c>
      <c r="I3" s="78" t="n"/>
      <c r="J3" s="81" t="n"/>
    </row>
    <row r="4" ht="26.25" customHeight="1">
      <c r="B4" s="30" t="inlineStr">
        <is>
          <t>row</t>
        </is>
      </c>
      <c r="C4" s="31" t="inlineStr">
        <is>
          <t>class</t>
        </is>
      </c>
      <c r="D4" s="31" t="inlineStr">
        <is>
          <t>Observe</t>
        </is>
      </c>
      <c r="E4" s="33" t="inlineStr">
        <is>
          <t>مجازی</t>
        </is>
      </c>
      <c r="F4" s="33" t="inlineStr">
        <is>
          <t>حضوری</t>
        </is>
      </c>
      <c r="G4" s="33" t="inlineStr">
        <is>
          <t>حضوری</t>
        </is>
      </c>
      <c r="H4" s="30" t="n"/>
      <c r="I4" s="31" t="n">
        <v>1403</v>
      </c>
      <c r="J4" s="32" t="n">
        <v>1404</v>
      </c>
    </row>
    <row r="5" ht="26.25" customHeight="1">
      <c r="B5" s="1" t="n">
        <v>1</v>
      </c>
      <c r="C5" s="25">
        <f>'Co Zero'!H4</f>
        <v/>
      </c>
      <c r="D5" s="25">
        <f>'Co Zero'!G15</f>
        <v/>
      </c>
      <c r="E5" s="3" t="n"/>
      <c r="F5" s="3" t="n"/>
      <c r="G5" s="28">
        <f>'Co Zero'!D4</f>
        <v/>
      </c>
      <c r="H5" s="6" t="inlineStr">
        <is>
          <t>زمستان به بهار</t>
        </is>
      </c>
      <c r="I5" s="7" t="n"/>
      <c r="J5" s="8" t="n"/>
    </row>
    <row r="6" ht="26.25" customHeight="1">
      <c r="B6" s="1" t="n">
        <v>2</v>
      </c>
      <c r="C6" s="26">
        <f>'co 1'!H4</f>
        <v/>
      </c>
      <c r="D6" s="25">
        <f>'co 1'!G15</f>
        <v/>
      </c>
      <c r="E6" s="3" t="n"/>
      <c r="F6" s="3" t="n"/>
      <c r="G6" s="28">
        <f>'co 1'!D4</f>
        <v/>
      </c>
      <c r="H6" s="6" t="inlineStr">
        <is>
          <t>بهار به تابستان</t>
        </is>
      </c>
      <c r="I6" s="7" t="n"/>
      <c r="J6" s="8" t="n"/>
    </row>
    <row r="7" ht="26.25" customHeight="1">
      <c r="B7" s="1" t="n">
        <v>3</v>
      </c>
      <c r="C7" s="26">
        <f>'Co2'!H4</f>
        <v/>
      </c>
      <c r="D7" s="25">
        <f>'Co2'!G15</f>
        <v/>
      </c>
      <c r="E7" s="3" t="n"/>
      <c r="F7" s="3" t="n"/>
      <c r="G7" s="28">
        <f>'Co2'!D4</f>
        <v/>
      </c>
      <c r="H7" s="6" t="inlineStr">
        <is>
          <t>تابستان به پاییز</t>
        </is>
      </c>
      <c r="I7" s="7" t="n"/>
      <c r="J7" s="8" t="n"/>
    </row>
    <row r="8" ht="26.25" customHeight="1">
      <c r="B8" s="1" t="n">
        <v>4</v>
      </c>
      <c r="C8" s="26">
        <f>'Co3'!H4</f>
        <v/>
      </c>
      <c r="D8" s="25">
        <f>'Co3'!G15</f>
        <v/>
      </c>
      <c r="E8" s="3" t="n"/>
      <c r="F8" s="3" t="n"/>
      <c r="G8" s="28">
        <f>'Co3'!D4</f>
        <v/>
      </c>
      <c r="H8" s="6" t="inlineStr">
        <is>
          <t>پاییز به زمستان</t>
        </is>
      </c>
      <c r="I8" s="7" t="n"/>
      <c r="J8" s="8" t="n"/>
    </row>
    <row r="9" ht="26.25" customHeight="1">
      <c r="B9" s="1" t="n">
        <v>5</v>
      </c>
      <c r="C9" s="26">
        <f>'Co4'!H4</f>
        <v/>
      </c>
      <c r="D9" s="25">
        <f>'Co4'!G15</f>
        <v/>
      </c>
      <c r="E9" s="3" t="n"/>
      <c r="F9" s="3" t="n"/>
      <c r="G9" s="28">
        <f>'Co4'!D4</f>
        <v/>
      </c>
    </row>
    <row r="10" ht="26.25" customHeight="1">
      <c r="B10" s="1" t="n">
        <v>6</v>
      </c>
      <c r="C10" s="26">
        <f>'Co5'!H4</f>
        <v/>
      </c>
      <c r="D10" s="25">
        <f>'Co5'!G15</f>
        <v/>
      </c>
      <c r="E10" s="3" t="n"/>
      <c r="F10" s="3" t="n"/>
      <c r="G10" s="28">
        <f>'Co5'!D4</f>
        <v/>
      </c>
      <c r="H10" s="5" t="n"/>
      <c r="I10" s="5" t="n"/>
      <c r="J10" s="5" t="n"/>
    </row>
    <row r="11" ht="26.25" customHeight="1">
      <c r="B11" s="1" t="n">
        <v>7</v>
      </c>
      <c r="C11" s="26">
        <f>'Co6'!H4</f>
        <v/>
      </c>
      <c r="D11" s="25">
        <f>'Co6'!G15</f>
        <v/>
      </c>
      <c r="E11" s="3" t="n"/>
      <c r="F11" s="3" t="n"/>
      <c r="G11" s="28">
        <f>'Co6'!D4</f>
        <v/>
      </c>
      <c r="H11" s="5" t="n"/>
      <c r="I11" s="5" t="n"/>
      <c r="J11" s="5" t="n"/>
    </row>
    <row r="12" ht="26.25" customHeight="1">
      <c r="B12" s="1" t="n">
        <v>8</v>
      </c>
      <c r="C12" s="26">
        <f>'Co7'!H4</f>
        <v/>
      </c>
      <c r="D12" s="25">
        <f>'Co7'!G15</f>
        <v/>
      </c>
      <c r="E12" s="3" t="n"/>
      <c r="F12" s="3" t="n"/>
      <c r="G12" s="28">
        <f>'Co7'!D4</f>
        <v/>
      </c>
      <c r="H12" s="5" t="n"/>
      <c r="I12" s="5" t="n"/>
      <c r="J12" s="5" t="n"/>
    </row>
    <row r="13" ht="26.25" customHeight="1">
      <c r="B13" s="1" t="n">
        <v>9</v>
      </c>
      <c r="C13" s="26">
        <f>'Co8'!H4</f>
        <v/>
      </c>
      <c r="D13" s="25">
        <f>'Co8'!G15</f>
        <v/>
      </c>
      <c r="E13" s="3" t="n"/>
      <c r="F13" s="3" t="n"/>
      <c r="G13" s="28">
        <f>'Co8'!D4</f>
        <v/>
      </c>
      <c r="H13" s="5" t="n"/>
      <c r="I13" s="5" t="n"/>
      <c r="J13" s="5" t="n"/>
    </row>
    <row r="14" ht="26.25" customHeight="1" thickBot="1">
      <c r="B14" s="2" t="n">
        <v>10</v>
      </c>
      <c r="C14" s="27">
        <f>'Co9'!H4</f>
        <v/>
      </c>
      <c r="D14" s="51">
        <f>'Co9'!G15</f>
        <v/>
      </c>
      <c r="E14" s="4" t="n"/>
      <c r="F14" s="4" t="n"/>
      <c r="G14" s="29">
        <f>'Co9'!D4</f>
        <v/>
      </c>
      <c r="H14" s="5" t="n"/>
      <c r="I14" s="5" t="n"/>
      <c r="J14" s="5" t="n"/>
    </row>
    <row r="17">
      <c r="A17" s="10" t="n"/>
      <c r="B17" s="10" t="n"/>
      <c r="C17" s="9" t="n"/>
      <c r="D17" s="9" t="n"/>
      <c r="E17" s="9" t="n"/>
    </row>
    <row r="18" ht="23.25" customHeight="1" thickBot="1">
      <c r="C18" s="9" t="n"/>
      <c r="D18" s="9" t="n"/>
      <c r="E18" s="9" t="n"/>
    </row>
    <row r="19">
      <c r="B19" s="35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7" t="n"/>
    </row>
    <row r="20" ht="15" customHeight="1" thickBot="1">
      <c r="B20" s="38" t="n"/>
      <c r="O20" s="39" t="n"/>
    </row>
    <row r="21" ht="20.25" customHeight="1">
      <c r="B21" s="38" t="n"/>
      <c r="C21" s="64" t="inlineStr">
        <is>
          <t>Pre Kc/Kc</t>
        </is>
      </c>
      <c r="D21" s="78" t="n"/>
      <c r="E21" s="79" t="n"/>
      <c r="O21" s="39" t="n"/>
    </row>
    <row r="22" ht="20.25" customHeight="1">
      <c r="B22" s="38" t="n"/>
      <c r="C22" s="40" t="inlineStr">
        <is>
          <t>Pre-A1</t>
        </is>
      </c>
      <c r="D22" s="41" t="inlineStr">
        <is>
          <t>Pre-KC / KC2d</t>
        </is>
      </c>
      <c r="E22" s="42" t="n">
        <v>1</v>
      </c>
      <c r="O22" s="39" t="n"/>
    </row>
    <row r="23" ht="20.25" customHeight="1">
      <c r="B23" s="38" t="n"/>
      <c r="C23" s="43" t="inlineStr">
        <is>
          <t>A1</t>
        </is>
      </c>
      <c r="D23" s="44" t="inlineStr">
        <is>
          <t>KC3a/KC3d</t>
        </is>
      </c>
      <c r="E23" s="45" t="n">
        <v>2</v>
      </c>
      <c r="O23" s="39" t="n"/>
    </row>
    <row r="24" ht="20.25" customHeight="1" thickBot="1">
      <c r="B24" s="38" t="n"/>
      <c r="C24" s="46" t="inlineStr">
        <is>
          <t>A1+</t>
        </is>
      </c>
      <c r="D24" s="47" t="inlineStr">
        <is>
          <t>KC4a/KC4c</t>
        </is>
      </c>
      <c r="E24" s="48" t="n">
        <v>3</v>
      </c>
      <c r="O24" s="39" t="n"/>
    </row>
    <row r="25" ht="20.25" customHeight="1">
      <c r="B25" s="38" t="n"/>
      <c r="O25" s="39" t="n"/>
    </row>
    <row r="26" ht="20.25" customHeight="1">
      <c r="B26" s="38" t="n"/>
      <c r="O26" s="39" t="n"/>
    </row>
    <row r="27" ht="20.25" customHeight="1">
      <c r="B27" s="38" t="n"/>
      <c r="O27" s="39" t="n"/>
    </row>
    <row r="28" ht="20.25" customHeight="1">
      <c r="B28" s="38" t="n"/>
      <c r="O28" s="39" t="n"/>
    </row>
    <row r="29">
      <c r="B29" s="38" t="n"/>
      <c r="O29" s="39" t="n"/>
    </row>
    <row r="30">
      <c r="B30" s="38" t="n"/>
      <c r="O30" s="39" t="n"/>
    </row>
    <row r="31">
      <c r="B31" s="38" t="n"/>
      <c r="O31" s="39" t="n"/>
    </row>
    <row r="32" ht="15" customHeight="1" thickBot="1">
      <c r="B32" s="49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50" t="n"/>
    </row>
    <row r="33" ht="15" customHeight="1" thickBot="1"/>
    <row r="34">
      <c r="B34" s="35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7" t="n"/>
    </row>
    <row r="35">
      <c r="B35" s="38" t="n"/>
      <c r="O35" s="39" t="n"/>
    </row>
    <row r="36" ht="15" customHeight="1" thickBot="1">
      <c r="B36" s="38" t="n"/>
      <c r="O36" s="39" t="n"/>
    </row>
    <row r="37" ht="18" customHeight="1">
      <c r="B37" s="38" t="n"/>
      <c r="C37" s="64" t="inlineStr">
        <is>
          <t>CES</t>
        </is>
      </c>
      <c r="D37" s="78" t="n"/>
      <c r="E37" s="79" t="n"/>
      <c r="O37" s="39" t="n"/>
    </row>
    <row r="38" ht="15.6" customHeight="1">
      <c r="B38" s="38" t="n"/>
      <c r="C38" s="40" t="inlineStr">
        <is>
          <t>A1</t>
        </is>
      </c>
      <c r="D38" s="41" t="inlineStr">
        <is>
          <t>StA/C</t>
        </is>
      </c>
      <c r="E38" s="42" t="n">
        <v>1</v>
      </c>
      <c r="O38" s="39" t="n"/>
    </row>
    <row r="39" ht="15.6" customHeight="1">
      <c r="B39" s="38" t="n"/>
      <c r="C39" s="43" t="inlineStr">
        <is>
          <t>A1+</t>
        </is>
      </c>
      <c r="D39" s="44" t="inlineStr">
        <is>
          <t>CES1/2</t>
        </is>
      </c>
      <c r="E39" s="45" t="n">
        <v>2</v>
      </c>
      <c r="O39" s="39" t="n"/>
    </row>
    <row r="40" ht="15.6" customHeight="1">
      <c r="B40" s="38" t="n"/>
      <c r="C40" s="40" t="inlineStr">
        <is>
          <t>A2</t>
        </is>
      </c>
      <c r="D40" s="41" t="inlineStr">
        <is>
          <t>CES3</t>
        </is>
      </c>
      <c r="E40" s="42" t="n">
        <v>3</v>
      </c>
      <c r="O40" s="39" t="n"/>
    </row>
    <row r="41" ht="15.6" customHeight="1">
      <c r="B41" s="38" t="n"/>
      <c r="C41" s="43" t="inlineStr">
        <is>
          <t>A2+</t>
        </is>
      </c>
      <c r="D41" s="44" t="inlineStr">
        <is>
          <t>CES4/5</t>
        </is>
      </c>
      <c r="E41" s="45" t="n">
        <v>4</v>
      </c>
      <c r="O41" s="39" t="n"/>
    </row>
    <row r="42" ht="16.2" customHeight="1" thickBot="1">
      <c r="B42" s="38" t="n"/>
      <c r="C42" s="46" t="inlineStr">
        <is>
          <t>B1</t>
        </is>
      </c>
      <c r="D42" s="47" t="inlineStr">
        <is>
          <t>CES6</t>
        </is>
      </c>
      <c r="E42" s="48" t="n">
        <v>4</v>
      </c>
      <c r="O42" s="39" t="n"/>
    </row>
    <row r="43">
      <c r="B43" s="38" t="n"/>
      <c r="O43" s="39" t="n"/>
    </row>
    <row r="44">
      <c r="B44" s="38" t="n"/>
      <c r="O44" s="39" t="n"/>
    </row>
    <row r="45">
      <c r="B45" s="38" t="n"/>
      <c r="O45" s="39" t="n"/>
    </row>
    <row r="46">
      <c r="B46" s="38" t="n"/>
      <c r="O46" s="39" t="n"/>
    </row>
    <row r="47">
      <c r="B47" s="38" t="n"/>
      <c r="O47" s="39" t="n"/>
    </row>
    <row r="48">
      <c r="B48" s="38" t="n"/>
      <c r="O48" s="39" t="n"/>
    </row>
    <row r="49">
      <c r="B49" s="38" t="n"/>
      <c r="O49" s="39" t="n"/>
    </row>
    <row r="50">
      <c r="B50" s="38" t="n"/>
      <c r="O50" s="39" t="n"/>
    </row>
    <row r="51" ht="15" customHeight="1" thickBot="1">
      <c r="B51" s="49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50" t="n"/>
    </row>
    <row r="53" ht="15" customHeight="1" thickBot="1"/>
    <row r="54">
      <c r="B54" s="35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7" t="n"/>
    </row>
    <row r="55">
      <c r="B55" s="38" t="n"/>
      <c r="O55" s="39" t="n"/>
    </row>
    <row r="56">
      <c r="B56" s="38" t="n"/>
      <c r="O56" s="39" t="n"/>
    </row>
    <row r="57" ht="15" customHeight="1" thickBot="1">
      <c r="B57" s="38" t="n"/>
      <c r="O57" s="39" t="n"/>
    </row>
    <row r="58" ht="18" customHeight="1">
      <c r="B58" s="38" t="n"/>
      <c r="C58" s="64" t="inlineStr">
        <is>
          <t>MIC</t>
        </is>
      </c>
      <c r="D58" s="78" t="n"/>
      <c r="E58" s="79" t="n"/>
      <c r="O58" s="39" t="n"/>
    </row>
    <row r="59" ht="15.6" customHeight="1">
      <c r="B59" s="38" t="n"/>
      <c r="C59" s="40" t="inlineStr">
        <is>
          <t>A1</t>
        </is>
      </c>
      <c r="D59" s="41" t="inlineStr">
        <is>
          <t>Basics</t>
        </is>
      </c>
      <c r="E59" s="42" t="n">
        <v>1</v>
      </c>
      <c r="O59" s="39" t="n"/>
    </row>
    <row r="60" ht="15.6" customHeight="1">
      <c r="B60" s="38" t="n"/>
      <c r="C60" s="43" t="inlineStr">
        <is>
          <t>A1+</t>
        </is>
      </c>
      <c r="D60" s="44" t="inlineStr">
        <is>
          <t>SE1/2</t>
        </is>
      </c>
      <c r="E60" s="45" t="n">
        <v>2</v>
      </c>
      <c r="O60" s="39" t="n"/>
    </row>
    <row r="61" ht="15.6" customHeight="1">
      <c r="B61" s="38" t="n"/>
      <c r="C61" s="40" t="inlineStr">
        <is>
          <t>A2</t>
        </is>
      </c>
      <c r="D61" s="41" t="inlineStr">
        <is>
          <t>SE3/4</t>
        </is>
      </c>
      <c r="E61" s="42" t="n">
        <v>3</v>
      </c>
      <c r="O61" s="39" t="n"/>
    </row>
    <row r="62" ht="15.6" customHeight="1">
      <c r="B62" s="38" t="n"/>
      <c r="C62" s="43" t="inlineStr">
        <is>
          <t>A2+</t>
        </is>
      </c>
      <c r="D62" s="44" t="inlineStr">
        <is>
          <t>SP1/4</t>
        </is>
      </c>
      <c r="E62" s="45" t="n">
        <v>4</v>
      </c>
      <c r="O62" s="39" t="n"/>
    </row>
    <row r="63" ht="15.6" customHeight="1">
      <c r="B63" s="38" t="n"/>
      <c r="C63" s="40" t="inlineStr">
        <is>
          <t>B1</t>
        </is>
      </c>
      <c r="D63" s="41" t="inlineStr">
        <is>
          <t>SI1/2</t>
        </is>
      </c>
      <c r="E63" s="42" t="n">
        <v>5</v>
      </c>
      <c r="O63" s="39" t="n"/>
    </row>
    <row r="64" ht="15.6" customHeight="1">
      <c r="B64" s="38" t="n"/>
      <c r="C64" s="43" t="inlineStr">
        <is>
          <t>B1+</t>
        </is>
      </c>
      <c r="D64" s="44" t="inlineStr">
        <is>
          <t>SI3/4</t>
        </is>
      </c>
      <c r="E64" s="45" t="n">
        <v>6</v>
      </c>
      <c r="O64" s="39" t="n"/>
    </row>
    <row r="65" ht="15.6" customHeight="1">
      <c r="B65" s="38" t="n"/>
      <c r="C65" s="40" t="inlineStr">
        <is>
          <t>B2</t>
        </is>
      </c>
      <c r="D65" s="41" t="inlineStr">
        <is>
          <t>SU1/2</t>
        </is>
      </c>
      <c r="E65" s="42" t="n">
        <v>7</v>
      </c>
      <c r="O65" s="39" t="n"/>
    </row>
    <row r="66" ht="15.6" customHeight="1">
      <c r="B66" s="38" t="n"/>
      <c r="C66" s="43" t="inlineStr">
        <is>
          <t>B2+</t>
        </is>
      </c>
      <c r="D66" s="44" t="inlineStr">
        <is>
          <t>SU3/4</t>
        </is>
      </c>
      <c r="E66" s="45" t="n">
        <v>8</v>
      </c>
      <c r="O66" s="39" t="n"/>
    </row>
    <row r="67">
      <c r="B67" s="38" t="n"/>
      <c r="O67" s="39" t="n"/>
    </row>
    <row r="68">
      <c r="B68" s="38" t="n"/>
      <c r="O68" s="39" t="n"/>
    </row>
    <row r="69">
      <c r="B69" s="38" t="n"/>
      <c r="O69" s="39" t="n"/>
    </row>
    <row r="70">
      <c r="B70" s="38" t="n"/>
      <c r="O70" s="39" t="n"/>
    </row>
    <row r="71">
      <c r="B71" s="38" t="n"/>
      <c r="O71" s="39" t="n"/>
    </row>
    <row r="72">
      <c r="B72" s="38" t="n"/>
      <c r="O72" s="39" t="n"/>
    </row>
    <row r="73" ht="15" customHeight="1" thickBot="1">
      <c r="B73" s="49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50" t="n"/>
    </row>
    <row r="75" ht="15" customHeight="1" thickBot="1"/>
    <row r="76">
      <c r="B76" s="35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7" t="n"/>
    </row>
    <row r="77" ht="15" customHeight="1" thickBot="1">
      <c r="B77" s="38" t="n"/>
      <c r="O77" s="39" t="n"/>
    </row>
    <row r="78" ht="18" customHeight="1">
      <c r="B78" s="38" t="n"/>
      <c r="C78" s="64" t="inlineStr">
        <is>
          <t>Adults (CO-CPE)</t>
        </is>
      </c>
      <c r="D78" s="78" t="n"/>
      <c r="E78" s="79" t="n"/>
      <c r="O78" s="39" t="n"/>
    </row>
    <row r="79" ht="15.6" customHeight="1">
      <c r="B79" s="38" t="n"/>
      <c r="C79" s="40" t="inlineStr">
        <is>
          <t>A1</t>
        </is>
      </c>
      <c r="D79" s="41" t="inlineStr">
        <is>
          <t>COZ/2</t>
        </is>
      </c>
      <c r="E79" s="42" t="n">
        <v>1</v>
      </c>
      <c r="O79" s="39" t="n"/>
    </row>
    <row r="80" ht="15.6" customHeight="1">
      <c r="B80" s="38" t="n"/>
      <c r="C80" s="43" t="inlineStr">
        <is>
          <t>A1+</t>
        </is>
      </c>
      <c r="D80" s="44" t="inlineStr">
        <is>
          <t>CO3/4</t>
        </is>
      </c>
      <c r="E80" s="45" t="n">
        <v>2</v>
      </c>
      <c r="O80" s="39" t="n"/>
    </row>
    <row r="81" ht="15.6" customHeight="1">
      <c r="B81" s="38" t="n"/>
      <c r="C81" s="40" t="inlineStr">
        <is>
          <t>A2</t>
        </is>
      </c>
      <c r="D81" s="41" t="inlineStr">
        <is>
          <t>CO4+/CO5</t>
        </is>
      </c>
      <c r="E81" s="42" t="n">
        <v>3</v>
      </c>
      <c r="O81" s="39" t="n"/>
    </row>
    <row r="82" ht="15.6" customHeight="1">
      <c r="B82" s="38" t="n"/>
      <c r="C82" s="43" t="inlineStr">
        <is>
          <t>A2+</t>
        </is>
      </c>
      <c r="D82" s="44" t="inlineStr">
        <is>
          <t>CO6/6+</t>
        </is>
      </c>
      <c r="E82" s="45" t="n">
        <v>4</v>
      </c>
      <c r="O82" s="39" t="n"/>
    </row>
    <row r="83" ht="15.6" customHeight="1">
      <c r="B83" s="38" t="n"/>
      <c r="C83" s="40" t="inlineStr">
        <is>
          <t>B1</t>
        </is>
      </c>
      <c r="D83" s="41" t="inlineStr">
        <is>
          <t>CO7/8</t>
        </is>
      </c>
      <c r="E83" s="42" t="n">
        <v>5</v>
      </c>
      <c r="O83" s="39" t="n"/>
    </row>
    <row r="84" ht="15.6" customHeight="1">
      <c r="B84" s="38" t="n"/>
      <c r="C84" s="43" t="inlineStr">
        <is>
          <t>B1+</t>
        </is>
      </c>
      <c r="D84" s="44" t="inlineStr">
        <is>
          <t>CO9</t>
        </is>
      </c>
      <c r="E84" s="45" t="n">
        <v>6</v>
      </c>
      <c r="O84" s="39" t="n"/>
    </row>
    <row r="85" ht="15.6" customHeight="1">
      <c r="B85" s="38" t="n"/>
      <c r="C85" s="40" t="inlineStr">
        <is>
          <t>B2</t>
        </is>
      </c>
      <c r="D85" s="41" t="inlineStr">
        <is>
          <t>COMP1-2/FCE1-2</t>
        </is>
      </c>
      <c r="E85" s="42" t="n">
        <v>7</v>
      </c>
      <c r="O85" s="39" t="n"/>
    </row>
    <row r="86" ht="15.6" customHeight="1">
      <c r="B86" s="38" t="n"/>
      <c r="C86" s="43" t="inlineStr">
        <is>
          <t>B2+</t>
        </is>
      </c>
      <c r="D86" s="44" t="inlineStr">
        <is>
          <t>COMP3-4/FCE3-4</t>
        </is>
      </c>
      <c r="E86" s="45" t="n">
        <v>8</v>
      </c>
      <c r="O86" s="39" t="n"/>
    </row>
    <row r="87" ht="15.6" customHeight="1">
      <c r="B87" s="38" t="n"/>
      <c r="C87" s="40" t="inlineStr">
        <is>
          <t>C1</t>
        </is>
      </c>
      <c r="D87" s="41" t="inlineStr">
        <is>
          <t>COMP5-6/CAE</t>
        </is>
      </c>
      <c r="E87" s="42" t="n">
        <v>9</v>
      </c>
      <c r="O87" s="39" t="n"/>
    </row>
    <row r="88" ht="15.6" customHeight="1">
      <c r="B88" s="38" t="n"/>
      <c r="C88" s="43" t="inlineStr">
        <is>
          <t>C2</t>
        </is>
      </c>
      <c r="D88" s="44" t="inlineStr">
        <is>
          <t>CPE</t>
        </is>
      </c>
      <c r="E88" s="45" t="n">
        <v>10</v>
      </c>
      <c r="O88" s="39" t="n"/>
    </row>
    <row r="89">
      <c r="B89" s="38" t="n"/>
      <c r="O89" s="39" t="n"/>
    </row>
    <row r="90">
      <c r="B90" s="38" t="n"/>
      <c r="O90" s="39" t="n"/>
    </row>
    <row r="91">
      <c r="B91" s="38" t="n"/>
      <c r="O91" s="39" t="n"/>
    </row>
    <row r="92">
      <c r="B92" s="38" t="n"/>
      <c r="O92" s="39" t="n"/>
    </row>
    <row r="93">
      <c r="B93" s="38" t="n"/>
      <c r="O93" s="39" t="n"/>
    </row>
    <row r="94">
      <c r="B94" s="38" t="n"/>
      <c r="O94" s="39" t="n"/>
    </row>
    <row r="95">
      <c r="B95" s="38" t="n"/>
      <c r="O95" s="39" t="n"/>
    </row>
    <row r="96">
      <c r="B96" s="38" t="n"/>
      <c r="O96" s="39" t="n"/>
    </row>
    <row r="97">
      <c r="B97" s="38" t="n"/>
      <c r="O97" s="39" t="n"/>
    </row>
    <row r="98">
      <c r="B98" s="38" t="n"/>
      <c r="O98" s="39" t="n"/>
    </row>
    <row r="99" ht="15" customHeight="1" thickBot="1">
      <c r="B99" s="49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50" t="n"/>
    </row>
  </sheetData>
  <mergeCells count="6">
    <mergeCell ref="C58:E58"/>
    <mergeCell ref="C37:E37"/>
    <mergeCell ref="C78:E78"/>
    <mergeCell ref="H3:J3"/>
    <mergeCell ref="C21:E21"/>
    <mergeCell ref="C3:G3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2022-11-11T17:45:36Z</dcterms:created>
  <dcterms:modified xmlns:dcterms="http://purl.org/dc/terms/" xmlns:xsi="http://www.w3.org/2001/XMLSchema-instance" xsi:type="dcterms:W3CDTF">2024-11-16T09:41:50Z</dcterms:modified>
  <cp:lastModifiedBy>mehrsa dehnavi</cp:lastModifiedBy>
  <cp:lastPrinted>2022-11-17T13:50:47Z</cp:lastPrinted>
</cp:coreProperties>
</file>